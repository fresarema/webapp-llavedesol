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ocencia\Inacap\Prueba\CBPR01\2024\Unidad 1\CBPR01_Sumativa1\"/>
    </mc:Choice>
  </mc:AlternateContent>
  <xr:revisionPtr revIDLastSave="0" documentId="13_ncr:1_{90408DAC-3FB8-4430-999B-A82E379D768A}" xr6:coauthVersionLast="47" xr6:coauthVersionMax="47" xr10:uidLastSave="{00000000-0000-0000-0000-000000000000}"/>
  <workbookProtection workbookAlgorithmName="SHA-512" workbookHashValue="DdvbAmd1WHEpHj0r1efDMHXQlw4FRO9dsuMr+ZgNy4Bw3cN62VDoeit9tQj85ZUKCiRrlxR4yF1BumDnFp9a7w==" workbookSaltValue="G3XuvOm2z9awGBWTY3GsCA==" workbookSpinCount="100000" lockStructure="1"/>
  <bookViews>
    <workbookView xWindow="-110" yWindow="-110" windowWidth="19420" windowHeight="10300" activeTab="3" xr2:uid="{681C76C3-29A7-2A45-8490-3572F0989676}"/>
  </bookViews>
  <sheets>
    <sheet name="FORMAS" sheetId="16" r:id="rId1"/>
    <sheet name="BD01" sheetId="11" state="hidden" r:id="rId2"/>
    <sheet name="Registro" sheetId="15" r:id="rId3"/>
    <sheet name="Registro.EDIT" sheetId="17" r:id="rId4"/>
    <sheet name="romana 2" sheetId="9" state="hidden" r:id="rId5"/>
  </sheets>
  <definedNames>
    <definedName name="_xlchart.v1.0" hidden="1">'romana 2'!$AL$2:$AL$141</definedName>
    <definedName name="_xlchart.v1.1" hidden="1">'romana 2'!$AM$2:$AM$141</definedName>
    <definedName name="_xlchart.v1.2" hidden="1">'romana 2'!$D$1</definedName>
    <definedName name="_xlchart.v1.3" hidden="1">'romana 2'!$D$2:$D$141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01" i="17" l="1"/>
  <c r="B401" i="17"/>
  <c r="C400" i="17"/>
  <c r="B400" i="17"/>
  <c r="C399" i="17"/>
  <c r="B399" i="17"/>
  <c r="C398" i="17"/>
  <c r="B398" i="17"/>
  <c r="C397" i="17"/>
  <c r="B397" i="17"/>
  <c r="C396" i="17"/>
  <c r="B396" i="17"/>
  <c r="C395" i="17"/>
  <c r="B395" i="17"/>
  <c r="C394" i="17"/>
  <c r="B394" i="17"/>
  <c r="C393" i="17"/>
  <c r="B393" i="17"/>
  <c r="C392" i="17"/>
  <c r="B392" i="17"/>
  <c r="C391" i="17"/>
  <c r="B391" i="17"/>
  <c r="C390" i="17"/>
  <c r="B390" i="17"/>
  <c r="C389" i="17"/>
  <c r="B389" i="17"/>
  <c r="C388" i="17"/>
  <c r="B388" i="17"/>
  <c r="C387" i="17"/>
  <c r="B387" i="17"/>
  <c r="C386" i="17"/>
  <c r="B386" i="17"/>
  <c r="C385" i="17"/>
  <c r="B385" i="17"/>
  <c r="C384" i="17"/>
  <c r="B384" i="17"/>
  <c r="C383" i="17"/>
  <c r="B383" i="17"/>
  <c r="C382" i="17"/>
  <c r="B382" i="17"/>
  <c r="C381" i="17"/>
  <c r="B381" i="17"/>
  <c r="C380" i="17"/>
  <c r="B380" i="17"/>
  <c r="C379" i="17"/>
  <c r="B379" i="17"/>
  <c r="C378" i="17"/>
  <c r="B378" i="17"/>
  <c r="C377" i="17"/>
  <c r="B377" i="17"/>
  <c r="C376" i="17"/>
  <c r="B376" i="17"/>
  <c r="C375" i="17"/>
  <c r="B375" i="17"/>
  <c r="C374" i="17"/>
  <c r="B374" i="17"/>
  <c r="C373" i="17"/>
  <c r="B373" i="17"/>
  <c r="C372" i="17"/>
  <c r="B372" i="17"/>
  <c r="C371" i="17"/>
  <c r="B371" i="17"/>
  <c r="C370" i="17"/>
  <c r="B370" i="17"/>
  <c r="C369" i="17"/>
  <c r="B369" i="17"/>
  <c r="C368" i="17"/>
  <c r="B368" i="17"/>
  <c r="C367" i="17"/>
  <c r="B367" i="17"/>
  <c r="C366" i="17"/>
  <c r="B366" i="17"/>
  <c r="C365" i="17"/>
  <c r="B365" i="17"/>
  <c r="C364" i="17"/>
  <c r="B364" i="17"/>
  <c r="C363" i="17"/>
  <c r="B363" i="17"/>
  <c r="C362" i="17"/>
  <c r="B362" i="17"/>
  <c r="C361" i="17"/>
  <c r="B361" i="17"/>
  <c r="C360" i="17"/>
  <c r="B360" i="17"/>
  <c r="C359" i="17"/>
  <c r="B359" i="17"/>
  <c r="C358" i="17"/>
  <c r="B358" i="17"/>
  <c r="C357" i="17"/>
  <c r="B357" i="17"/>
  <c r="C356" i="17"/>
  <c r="B356" i="17"/>
  <c r="C355" i="17"/>
  <c r="B355" i="17"/>
  <c r="C354" i="17"/>
  <c r="B354" i="17"/>
  <c r="C353" i="17"/>
  <c r="B353" i="17"/>
  <c r="C352" i="17"/>
  <c r="B352" i="17"/>
  <c r="C351" i="17"/>
  <c r="B351" i="17"/>
  <c r="C350" i="17"/>
  <c r="B350" i="17"/>
  <c r="C349" i="17"/>
  <c r="B349" i="17"/>
  <c r="C348" i="17"/>
  <c r="B348" i="17"/>
  <c r="C347" i="17"/>
  <c r="B347" i="17"/>
  <c r="C346" i="17"/>
  <c r="B346" i="17"/>
  <c r="C345" i="17"/>
  <c r="B345" i="17"/>
  <c r="C344" i="17"/>
  <c r="B344" i="17"/>
  <c r="C343" i="17"/>
  <c r="B343" i="17"/>
  <c r="C342" i="17"/>
  <c r="B342" i="17"/>
  <c r="C341" i="17"/>
  <c r="B341" i="17"/>
  <c r="C340" i="17"/>
  <c r="B340" i="17"/>
  <c r="C339" i="17"/>
  <c r="B339" i="17"/>
  <c r="C338" i="17"/>
  <c r="B338" i="17"/>
  <c r="C337" i="17"/>
  <c r="B337" i="17"/>
  <c r="C336" i="17"/>
  <c r="B336" i="17"/>
  <c r="C335" i="17"/>
  <c r="B335" i="17"/>
  <c r="C334" i="17"/>
  <c r="B334" i="17"/>
  <c r="C333" i="17"/>
  <c r="B333" i="17"/>
  <c r="C332" i="17"/>
  <c r="B332" i="17"/>
  <c r="C331" i="17"/>
  <c r="B331" i="17"/>
  <c r="C330" i="17"/>
  <c r="B330" i="17"/>
  <c r="C329" i="17"/>
  <c r="B329" i="17"/>
  <c r="C328" i="17"/>
  <c r="B328" i="17"/>
  <c r="C327" i="17"/>
  <c r="B327" i="17"/>
  <c r="C326" i="17"/>
  <c r="B326" i="17"/>
  <c r="C325" i="17"/>
  <c r="B325" i="17"/>
  <c r="C324" i="17"/>
  <c r="B324" i="17"/>
  <c r="C323" i="17"/>
  <c r="B323" i="17"/>
  <c r="C322" i="17"/>
  <c r="B322" i="17"/>
  <c r="C321" i="17"/>
  <c r="B321" i="17"/>
  <c r="C320" i="17"/>
  <c r="B320" i="17"/>
  <c r="C319" i="17"/>
  <c r="B319" i="17"/>
  <c r="C318" i="17"/>
  <c r="B318" i="17"/>
  <c r="C317" i="17"/>
  <c r="B317" i="17"/>
  <c r="C316" i="17"/>
  <c r="B316" i="17"/>
  <c r="C315" i="17"/>
  <c r="B315" i="17"/>
  <c r="C314" i="17"/>
  <c r="B314" i="17"/>
  <c r="C313" i="17"/>
  <c r="B313" i="17"/>
  <c r="C312" i="17"/>
  <c r="B312" i="17"/>
  <c r="C311" i="17"/>
  <c r="B311" i="17"/>
  <c r="C310" i="17"/>
  <c r="B310" i="17"/>
  <c r="C309" i="17"/>
  <c r="B309" i="17"/>
  <c r="C308" i="17"/>
  <c r="B308" i="17"/>
  <c r="C307" i="17"/>
  <c r="B307" i="17"/>
  <c r="C306" i="17"/>
  <c r="B306" i="17"/>
  <c r="C305" i="17"/>
  <c r="B305" i="17"/>
  <c r="C304" i="17"/>
  <c r="B304" i="17"/>
  <c r="C303" i="17"/>
  <c r="B303" i="17"/>
  <c r="C302" i="17"/>
  <c r="B302" i="17"/>
  <c r="C301" i="17"/>
  <c r="B301" i="17"/>
  <c r="C300" i="17"/>
  <c r="B300" i="17"/>
  <c r="C299" i="17"/>
  <c r="B299" i="17"/>
  <c r="C298" i="17"/>
  <c r="B298" i="17"/>
  <c r="C297" i="17"/>
  <c r="B297" i="17"/>
  <c r="C296" i="17"/>
  <c r="B296" i="17"/>
  <c r="C295" i="17"/>
  <c r="B295" i="17"/>
  <c r="C294" i="17"/>
  <c r="B294" i="17"/>
  <c r="C293" i="17"/>
  <c r="B293" i="17"/>
  <c r="C292" i="17"/>
  <c r="B292" i="17"/>
  <c r="C291" i="17"/>
  <c r="B291" i="17"/>
  <c r="C290" i="17"/>
  <c r="B290" i="17"/>
  <c r="C289" i="17"/>
  <c r="B289" i="17"/>
  <c r="C288" i="17"/>
  <c r="B288" i="17"/>
  <c r="C287" i="17"/>
  <c r="B287" i="17"/>
  <c r="C286" i="17"/>
  <c r="B286" i="17"/>
  <c r="C285" i="17"/>
  <c r="B285" i="17"/>
  <c r="C284" i="17"/>
  <c r="B284" i="17"/>
  <c r="C283" i="17"/>
  <c r="B283" i="17"/>
  <c r="C282" i="17"/>
  <c r="B282" i="17"/>
  <c r="C281" i="17"/>
  <c r="B281" i="17"/>
  <c r="C280" i="17"/>
  <c r="B280" i="17"/>
  <c r="C279" i="17"/>
  <c r="B279" i="17"/>
  <c r="C278" i="17"/>
  <c r="B278" i="17"/>
  <c r="C277" i="17"/>
  <c r="B277" i="17"/>
  <c r="C276" i="17"/>
  <c r="B276" i="17"/>
  <c r="C275" i="17"/>
  <c r="B275" i="17"/>
  <c r="C274" i="17"/>
  <c r="B274" i="17"/>
  <c r="C273" i="17"/>
  <c r="B273" i="17"/>
  <c r="C272" i="17"/>
  <c r="B272" i="17"/>
  <c r="C271" i="17"/>
  <c r="B271" i="17"/>
  <c r="C270" i="17"/>
  <c r="B270" i="17"/>
  <c r="C269" i="17"/>
  <c r="B269" i="17"/>
  <c r="C268" i="17"/>
  <c r="B268" i="17"/>
  <c r="C267" i="17"/>
  <c r="B267" i="17"/>
  <c r="C266" i="17"/>
  <c r="B266" i="17"/>
  <c r="C265" i="17"/>
  <c r="B265" i="17"/>
  <c r="C264" i="17"/>
  <c r="B264" i="17"/>
  <c r="C263" i="17"/>
  <c r="B263" i="17"/>
  <c r="C262" i="17"/>
  <c r="B262" i="17"/>
  <c r="C261" i="17"/>
  <c r="B261" i="17"/>
  <c r="C260" i="17"/>
  <c r="B260" i="17"/>
  <c r="C259" i="17"/>
  <c r="B259" i="17"/>
  <c r="C258" i="17"/>
  <c r="B258" i="17"/>
  <c r="C257" i="17"/>
  <c r="B257" i="17"/>
  <c r="C256" i="17"/>
  <c r="B256" i="17"/>
  <c r="C255" i="17"/>
  <c r="B255" i="17"/>
  <c r="C254" i="17"/>
  <c r="B254" i="17"/>
  <c r="C253" i="17"/>
  <c r="B253" i="17"/>
  <c r="C252" i="17"/>
  <c r="B252" i="17"/>
  <c r="C251" i="17"/>
  <c r="B251" i="17"/>
  <c r="C250" i="17"/>
  <c r="B250" i="17"/>
  <c r="C249" i="17"/>
  <c r="B249" i="17"/>
  <c r="C248" i="17"/>
  <c r="B248" i="17"/>
  <c r="C247" i="17"/>
  <c r="B247" i="17"/>
  <c r="C246" i="17"/>
  <c r="B246" i="17"/>
  <c r="C245" i="17"/>
  <c r="B245" i="17"/>
  <c r="C244" i="17"/>
  <c r="B244" i="17"/>
  <c r="C243" i="17"/>
  <c r="B243" i="17"/>
  <c r="C242" i="17"/>
  <c r="B242" i="17"/>
  <c r="C241" i="17"/>
  <c r="B241" i="17"/>
  <c r="C240" i="17"/>
  <c r="B240" i="17"/>
  <c r="C239" i="17"/>
  <c r="B239" i="17"/>
  <c r="C238" i="17"/>
  <c r="B238" i="17"/>
  <c r="C237" i="17"/>
  <c r="B237" i="17"/>
  <c r="C236" i="17"/>
  <c r="B236" i="17"/>
  <c r="C235" i="17"/>
  <c r="B235" i="17"/>
  <c r="C234" i="17"/>
  <c r="B234" i="17"/>
  <c r="C233" i="17"/>
  <c r="B233" i="17"/>
  <c r="C232" i="17"/>
  <c r="B232" i="17"/>
  <c r="C231" i="17"/>
  <c r="B231" i="17"/>
  <c r="C230" i="17"/>
  <c r="B230" i="17"/>
  <c r="C229" i="17"/>
  <c r="B229" i="17"/>
  <c r="C228" i="17"/>
  <c r="B228" i="17"/>
  <c r="C227" i="17"/>
  <c r="B227" i="17"/>
  <c r="C226" i="17"/>
  <c r="B226" i="17"/>
  <c r="C225" i="17"/>
  <c r="B225" i="17"/>
  <c r="C224" i="17"/>
  <c r="B224" i="17"/>
  <c r="C223" i="17"/>
  <c r="B223" i="17"/>
  <c r="C222" i="17"/>
  <c r="B222" i="17"/>
  <c r="C221" i="17"/>
  <c r="B221" i="17"/>
  <c r="C220" i="17"/>
  <c r="B220" i="17"/>
  <c r="C219" i="17"/>
  <c r="B219" i="17"/>
  <c r="C218" i="17"/>
  <c r="B218" i="17"/>
  <c r="C217" i="17"/>
  <c r="B217" i="17"/>
  <c r="C216" i="17"/>
  <c r="B216" i="17"/>
  <c r="C215" i="17"/>
  <c r="B215" i="17"/>
  <c r="C214" i="17"/>
  <c r="B214" i="17"/>
  <c r="C213" i="17"/>
  <c r="B213" i="17"/>
  <c r="C212" i="17"/>
  <c r="B212" i="17"/>
  <c r="C211" i="17"/>
  <c r="B211" i="17"/>
  <c r="C210" i="17"/>
  <c r="B210" i="17"/>
  <c r="C209" i="17"/>
  <c r="B209" i="17"/>
  <c r="C208" i="17"/>
  <c r="B208" i="17"/>
  <c r="C207" i="17"/>
  <c r="B207" i="17"/>
  <c r="C206" i="17"/>
  <c r="B206" i="17"/>
  <c r="C205" i="17"/>
  <c r="B205" i="17"/>
  <c r="C204" i="17"/>
  <c r="B204" i="17"/>
  <c r="C203" i="17"/>
  <c r="B203" i="17"/>
  <c r="C202" i="17"/>
  <c r="B202" i="17"/>
  <c r="C201" i="17"/>
  <c r="B201" i="17"/>
  <c r="C200" i="17"/>
  <c r="B200" i="17"/>
  <c r="C199" i="17"/>
  <c r="B199" i="17"/>
  <c r="C198" i="17"/>
  <c r="B198" i="17"/>
  <c r="C197" i="17"/>
  <c r="B197" i="17"/>
  <c r="C196" i="17"/>
  <c r="B196" i="17"/>
  <c r="C195" i="17"/>
  <c r="B195" i="17"/>
  <c r="C194" i="17"/>
  <c r="B194" i="17"/>
  <c r="C193" i="17"/>
  <c r="B193" i="17"/>
  <c r="C192" i="17"/>
  <c r="B192" i="17"/>
  <c r="C191" i="17"/>
  <c r="B191" i="17"/>
  <c r="C190" i="17"/>
  <c r="B190" i="17"/>
  <c r="C189" i="17"/>
  <c r="B189" i="17"/>
  <c r="C188" i="17"/>
  <c r="B188" i="17"/>
  <c r="C187" i="17"/>
  <c r="B187" i="17"/>
  <c r="C186" i="17"/>
  <c r="B186" i="17"/>
  <c r="C185" i="17"/>
  <c r="B185" i="17"/>
  <c r="C184" i="17"/>
  <c r="B184" i="17"/>
  <c r="C183" i="17"/>
  <c r="B183" i="17"/>
  <c r="C182" i="17"/>
  <c r="B182" i="17"/>
  <c r="C181" i="17"/>
  <c r="B181" i="17"/>
  <c r="C180" i="17"/>
  <c r="B180" i="17"/>
  <c r="C179" i="17"/>
  <c r="B179" i="17"/>
  <c r="C178" i="17"/>
  <c r="B178" i="17"/>
  <c r="C177" i="17"/>
  <c r="B177" i="17"/>
  <c r="C176" i="17"/>
  <c r="B176" i="17"/>
  <c r="C175" i="17"/>
  <c r="B175" i="17"/>
  <c r="C174" i="17"/>
  <c r="B174" i="17"/>
  <c r="C173" i="17"/>
  <c r="B173" i="17"/>
  <c r="C172" i="17"/>
  <c r="B172" i="17"/>
  <c r="C171" i="17"/>
  <c r="B171" i="17"/>
  <c r="C170" i="17"/>
  <c r="B170" i="17"/>
  <c r="C169" i="17"/>
  <c r="B169" i="17"/>
  <c r="C168" i="17"/>
  <c r="B168" i="17"/>
  <c r="C167" i="17"/>
  <c r="B167" i="17"/>
  <c r="C166" i="17"/>
  <c r="B166" i="17"/>
  <c r="C165" i="17"/>
  <c r="B165" i="17"/>
  <c r="C164" i="17"/>
  <c r="B164" i="17"/>
  <c r="C163" i="17"/>
  <c r="B163" i="17"/>
  <c r="C162" i="17"/>
  <c r="B162" i="17"/>
  <c r="C161" i="17"/>
  <c r="B161" i="17"/>
  <c r="C160" i="17"/>
  <c r="B160" i="17"/>
  <c r="C159" i="17"/>
  <c r="B159" i="17"/>
  <c r="C158" i="17"/>
  <c r="B158" i="17"/>
  <c r="C157" i="17"/>
  <c r="B157" i="17"/>
  <c r="C156" i="17"/>
  <c r="B156" i="17"/>
  <c r="C155" i="17"/>
  <c r="B155" i="17"/>
  <c r="C154" i="17"/>
  <c r="B154" i="17"/>
  <c r="C153" i="17"/>
  <c r="B153" i="17"/>
  <c r="C152" i="17"/>
  <c r="B152" i="17"/>
  <c r="C151" i="17"/>
  <c r="B151" i="17"/>
  <c r="C150" i="17"/>
  <c r="B150" i="17"/>
  <c r="C149" i="17"/>
  <c r="B149" i="17"/>
  <c r="C148" i="17"/>
  <c r="B148" i="17"/>
  <c r="C147" i="17"/>
  <c r="B147" i="17"/>
  <c r="C146" i="17"/>
  <c r="B146" i="17"/>
  <c r="C145" i="17"/>
  <c r="B145" i="17"/>
  <c r="C144" i="17"/>
  <c r="B144" i="17"/>
  <c r="C143" i="17"/>
  <c r="B143" i="17"/>
  <c r="C142" i="17"/>
  <c r="B142" i="17"/>
  <c r="C141" i="17"/>
  <c r="B141" i="17"/>
  <c r="C140" i="17"/>
  <c r="B140" i="17"/>
  <c r="C139" i="17"/>
  <c r="B139" i="17"/>
  <c r="C138" i="17"/>
  <c r="B138" i="17"/>
  <c r="C137" i="17"/>
  <c r="B137" i="17"/>
  <c r="C136" i="17"/>
  <c r="B136" i="17"/>
  <c r="C135" i="17"/>
  <c r="B135" i="17"/>
  <c r="C134" i="17"/>
  <c r="B134" i="17"/>
  <c r="C133" i="17"/>
  <c r="B133" i="17"/>
  <c r="C132" i="17"/>
  <c r="B132" i="17"/>
  <c r="C131" i="17"/>
  <c r="B131" i="17"/>
  <c r="C130" i="17"/>
  <c r="B130" i="17"/>
  <c r="C129" i="17"/>
  <c r="B129" i="17"/>
  <c r="C128" i="17"/>
  <c r="B128" i="17"/>
  <c r="C127" i="17"/>
  <c r="B127" i="17"/>
  <c r="C126" i="17"/>
  <c r="B126" i="17"/>
  <c r="C125" i="17"/>
  <c r="B125" i="17"/>
  <c r="C124" i="17"/>
  <c r="B124" i="17"/>
  <c r="C123" i="17"/>
  <c r="B123" i="17"/>
  <c r="C122" i="17"/>
  <c r="B122" i="17"/>
  <c r="C121" i="17"/>
  <c r="B121" i="17"/>
  <c r="C120" i="17"/>
  <c r="B120" i="17"/>
  <c r="C119" i="17"/>
  <c r="B119" i="17"/>
  <c r="C118" i="17"/>
  <c r="B118" i="17"/>
  <c r="C117" i="17"/>
  <c r="B117" i="17"/>
  <c r="C116" i="17"/>
  <c r="B116" i="17"/>
  <c r="C115" i="17"/>
  <c r="B115" i="17"/>
  <c r="C114" i="17"/>
  <c r="B114" i="17"/>
  <c r="C113" i="17"/>
  <c r="B113" i="17"/>
  <c r="C112" i="17"/>
  <c r="B112" i="17"/>
  <c r="C111" i="17"/>
  <c r="B111" i="17"/>
  <c r="C110" i="17"/>
  <c r="B110" i="17"/>
  <c r="C109" i="17"/>
  <c r="B109" i="17"/>
  <c r="C108" i="17"/>
  <c r="B108" i="17"/>
  <c r="C107" i="17"/>
  <c r="B107" i="17"/>
  <c r="C106" i="17"/>
  <c r="B106" i="17"/>
  <c r="C105" i="17"/>
  <c r="B105" i="17"/>
  <c r="C104" i="17"/>
  <c r="B104" i="17"/>
  <c r="C103" i="17"/>
  <c r="B103" i="17"/>
  <c r="C102" i="17"/>
  <c r="B102" i="17"/>
  <c r="C101" i="17"/>
  <c r="B101" i="17"/>
  <c r="C100" i="17"/>
  <c r="B100" i="17"/>
  <c r="C99" i="17"/>
  <c r="B99" i="17"/>
  <c r="C98" i="17"/>
  <c r="B98" i="17"/>
  <c r="C97" i="17"/>
  <c r="B97" i="17"/>
  <c r="C96" i="17"/>
  <c r="B96" i="17"/>
  <c r="C95" i="17"/>
  <c r="B95" i="17"/>
  <c r="C94" i="17"/>
  <c r="B94" i="17"/>
  <c r="C93" i="17"/>
  <c r="B93" i="17"/>
  <c r="C92" i="17"/>
  <c r="B92" i="17"/>
  <c r="C91" i="17"/>
  <c r="B91" i="17"/>
  <c r="C90" i="17"/>
  <c r="B90" i="17"/>
  <c r="C89" i="17"/>
  <c r="B89" i="17"/>
  <c r="C88" i="17"/>
  <c r="B88" i="17"/>
  <c r="C87" i="17"/>
  <c r="B87" i="17"/>
  <c r="C86" i="17"/>
  <c r="B86" i="17"/>
  <c r="C85" i="17"/>
  <c r="B85" i="17"/>
  <c r="C84" i="17"/>
  <c r="B84" i="17"/>
  <c r="C83" i="17"/>
  <c r="B83" i="17"/>
  <c r="C82" i="17"/>
  <c r="B82" i="17"/>
  <c r="C81" i="17"/>
  <c r="B81" i="17"/>
  <c r="C80" i="17"/>
  <c r="B80" i="17"/>
  <c r="C79" i="17"/>
  <c r="B79" i="17"/>
  <c r="C78" i="17"/>
  <c r="B78" i="17"/>
  <c r="C77" i="17"/>
  <c r="B77" i="17"/>
  <c r="C76" i="17"/>
  <c r="B76" i="17"/>
  <c r="C75" i="17"/>
  <c r="B75" i="17"/>
  <c r="C74" i="17"/>
  <c r="B74" i="17"/>
  <c r="C73" i="17"/>
  <c r="B73" i="17"/>
  <c r="C72" i="17"/>
  <c r="B72" i="17"/>
  <c r="C71" i="17"/>
  <c r="B71" i="17"/>
  <c r="C70" i="17"/>
  <c r="B70" i="17"/>
  <c r="C69" i="17"/>
  <c r="B69" i="17"/>
  <c r="C68" i="17"/>
  <c r="B68" i="17"/>
  <c r="C67" i="17"/>
  <c r="B67" i="17"/>
  <c r="C66" i="17"/>
  <c r="B66" i="17"/>
  <c r="C65" i="17"/>
  <c r="B65" i="17"/>
  <c r="C64" i="17"/>
  <c r="B64" i="17"/>
  <c r="C63" i="17"/>
  <c r="B63" i="17"/>
  <c r="C62" i="17"/>
  <c r="B62" i="17"/>
  <c r="C61" i="17"/>
  <c r="B61" i="17"/>
  <c r="C60" i="17"/>
  <c r="B60" i="17"/>
  <c r="C59" i="17"/>
  <c r="B59" i="17"/>
  <c r="C58" i="17"/>
  <c r="B58" i="17"/>
  <c r="C57" i="17"/>
  <c r="B57" i="17"/>
  <c r="C56" i="17"/>
  <c r="B56" i="17"/>
  <c r="C55" i="17"/>
  <c r="B55" i="17"/>
  <c r="C54" i="17"/>
  <c r="B54" i="17"/>
  <c r="C53" i="17"/>
  <c r="B53" i="17"/>
  <c r="C52" i="17"/>
  <c r="B52" i="17"/>
  <c r="C51" i="17"/>
  <c r="B51" i="17"/>
  <c r="C50" i="17"/>
  <c r="B50" i="17"/>
  <c r="C49" i="17"/>
  <c r="B49" i="17"/>
  <c r="C48" i="17"/>
  <c r="B48" i="17"/>
  <c r="C47" i="17"/>
  <c r="B47" i="17"/>
  <c r="C46" i="17"/>
  <c r="B46" i="17"/>
  <c r="C45" i="17"/>
  <c r="B45" i="17"/>
  <c r="C44" i="17"/>
  <c r="B44" i="17"/>
  <c r="C43" i="17"/>
  <c r="B43" i="17"/>
  <c r="C42" i="17"/>
  <c r="B42" i="17"/>
  <c r="C41" i="17"/>
  <c r="B41" i="17"/>
  <c r="C40" i="17"/>
  <c r="B40" i="17"/>
  <c r="C39" i="17"/>
  <c r="B3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B11" i="17"/>
  <c r="C10" i="17"/>
  <c r="B10" i="17"/>
  <c r="C9" i="17"/>
  <c r="B9" i="17"/>
  <c r="C8" i="17"/>
  <c r="B8" i="17"/>
  <c r="C7" i="17"/>
  <c r="B7" i="17"/>
  <c r="C6" i="17"/>
  <c r="B6" i="17"/>
  <c r="C5" i="17"/>
  <c r="B5" i="17"/>
  <c r="C4" i="17"/>
  <c r="B4" i="17"/>
  <c r="C3" i="17"/>
  <c r="B3" i="17"/>
  <c r="C2" i="17"/>
  <c r="B2" i="17"/>
  <c r="G4" i="16"/>
  <c r="G7" i="16" l="1"/>
  <c r="O451" i="11"/>
  <c r="S2" i="11" l="1"/>
  <c r="W23" i="11" l="1"/>
  <c r="T2" i="11" s="1"/>
  <c r="W22" i="11"/>
  <c r="X22" i="11" s="1"/>
  <c r="Y9" i="11"/>
  <c r="Y3" i="11"/>
  <c r="V3" i="11"/>
  <c r="Z5" i="9"/>
  <c r="S17" i="9"/>
  <c r="O15" i="9"/>
  <c r="AL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2" i="9"/>
  <c r="Y10" i="11" l="1"/>
  <c r="X23" i="11"/>
  <c r="T3" i="11"/>
  <c r="U2" i="11"/>
  <c r="Z9" i="11"/>
  <c r="W3" i="11"/>
  <c r="Z3" i="11"/>
  <c r="Y4" i="11"/>
  <c r="Y29" i="9"/>
  <c r="N2" i="11" l="1"/>
  <c r="E2" i="11"/>
  <c r="C2" i="11"/>
  <c r="T4" i="11"/>
  <c r="U3" i="11"/>
  <c r="Z4" i="11"/>
  <c r="Y5" i="11"/>
  <c r="X30" i="9"/>
  <c r="X31" i="9"/>
  <c r="X32" i="9"/>
  <c r="X33" i="9"/>
  <c r="X34" i="9"/>
  <c r="X35" i="9"/>
  <c r="X36" i="9"/>
  <c r="X37" i="9"/>
  <c r="X38" i="9"/>
  <c r="X29" i="9"/>
  <c r="Y30" i="9"/>
  <c r="Y31" i="9"/>
  <c r="Y32" i="9"/>
  <c r="Y33" i="9"/>
  <c r="Y34" i="9"/>
  <c r="Y35" i="9"/>
  <c r="Y36" i="9"/>
  <c r="Y37" i="9"/>
  <c r="Y38" i="9"/>
  <c r="V9" i="9"/>
  <c r="R20" i="9"/>
  <c r="S18" i="9"/>
  <c r="S19" i="9"/>
  <c r="S20" i="9"/>
  <c r="S21" i="9"/>
  <c r="R21" i="9"/>
  <c r="R19" i="9"/>
  <c r="R18" i="9"/>
  <c r="R17" i="9"/>
  <c r="R12" i="9"/>
  <c r="R11" i="9"/>
  <c r="R10" i="9"/>
  <c r="R13" i="9"/>
  <c r="R9" i="9"/>
  <c r="O14" i="9"/>
  <c r="V6" i="9"/>
  <c r="V5" i="9"/>
  <c r="V4" i="9"/>
  <c r="Z7" i="9"/>
  <c r="AA5" i="9" s="1"/>
  <c r="V14" i="11"/>
  <c r="W14" i="11" s="1"/>
  <c r="V9" i="11"/>
  <c r="W9" i="11" s="1"/>
  <c r="N3" i="11" l="1"/>
  <c r="E3" i="11"/>
  <c r="Z5" i="11"/>
  <c r="T5" i="11"/>
  <c r="U4" i="11"/>
  <c r="C3" i="11"/>
  <c r="V4" i="11"/>
  <c r="V12" i="9"/>
  <c r="G52" i="11"/>
  <c r="I52" i="11" s="1"/>
  <c r="G209" i="11"/>
  <c r="I209" i="11" s="1"/>
  <c r="V11" i="9"/>
  <c r="V10" i="9"/>
  <c r="Z6" i="9"/>
  <c r="AA6" i="9" s="1"/>
  <c r="G94" i="11"/>
  <c r="I94" i="11" s="1"/>
  <c r="G185" i="11"/>
  <c r="I185" i="11" s="1"/>
  <c r="V10" i="11"/>
  <c r="W10" i="11" s="1"/>
  <c r="G237" i="11"/>
  <c r="I237" i="11" s="1"/>
  <c r="G93" i="11"/>
  <c r="I93" i="11" s="1"/>
  <c r="G235" i="11"/>
  <c r="I235" i="11" s="1"/>
  <c r="G208" i="11"/>
  <c r="I208" i="11" s="1"/>
  <c r="G74" i="11"/>
  <c r="I74" i="11" s="1"/>
  <c r="G131" i="11"/>
  <c r="I131" i="11" s="1"/>
  <c r="G68" i="11"/>
  <c r="I68" i="11" s="1"/>
  <c r="G257" i="11"/>
  <c r="I257" i="11" s="1"/>
  <c r="G273" i="11"/>
  <c r="I273" i="11" s="1"/>
  <c r="G153" i="11"/>
  <c r="I153" i="11" s="1"/>
  <c r="G105" i="11"/>
  <c r="I105" i="11" s="1"/>
  <c r="G102" i="11"/>
  <c r="I102" i="11" s="1"/>
  <c r="G40" i="11"/>
  <c r="I40" i="11" s="1"/>
  <c r="G156" i="11"/>
  <c r="I156" i="11" s="1"/>
  <c r="G168" i="11"/>
  <c r="I168" i="11" s="1"/>
  <c r="G97" i="11"/>
  <c r="I97" i="11" s="1"/>
  <c r="G95" i="11"/>
  <c r="I95" i="11" s="1"/>
  <c r="G99" i="11"/>
  <c r="I99" i="11" s="1"/>
  <c r="G226" i="11"/>
  <c r="I226" i="11" s="1"/>
  <c r="G104" i="11"/>
  <c r="I104" i="11" s="1"/>
  <c r="G193" i="11"/>
  <c r="I193" i="11" s="1"/>
  <c r="G96" i="11"/>
  <c r="I96" i="11" s="1"/>
  <c r="G172" i="11"/>
  <c r="I172" i="11" s="1"/>
  <c r="G79" i="11"/>
  <c r="I79" i="11" s="1"/>
  <c r="G165" i="11"/>
  <c r="I165" i="11" s="1"/>
  <c r="G148" i="11"/>
  <c r="I148" i="11" s="1"/>
  <c r="G274" i="11"/>
  <c r="I274" i="11" s="1"/>
  <c r="G134" i="11"/>
  <c r="I134" i="11" s="1"/>
  <c r="G16" i="11"/>
  <c r="I16" i="11" s="1"/>
  <c r="G23" i="11"/>
  <c r="I23" i="11" s="1"/>
  <c r="G275" i="11"/>
  <c r="I275" i="11" s="1"/>
  <c r="G116" i="11"/>
  <c r="I116" i="11" s="1"/>
  <c r="G92" i="11"/>
  <c r="I92" i="11" s="1"/>
  <c r="G255" i="11"/>
  <c r="I255" i="11" s="1"/>
  <c r="G62" i="11"/>
  <c r="I62" i="11" s="1"/>
  <c r="G57" i="11"/>
  <c r="I57" i="11" s="1"/>
  <c r="G12" i="11"/>
  <c r="I12" i="11" s="1"/>
  <c r="G80" i="11"/>
  <c r="I80" i="11" s="1"/>
  <c r="G30" i="11"/>
  <c r="I30" i="11" s="1"/>
  <c r="G256" i="11"/>
  <c r="I256" i="11" s="1"/>
  <c r="G112" i="11"/>
  <c r="I112" i="11" s="1"/>
  <c r="G200" i="11"/>
  <c r="I200" i="11" s="1"/>
  <c r="G192" i="11"/>
  <c r="I192" i="11" s="1"/>
  <c r="G118" i="11"/>
  <c r="I118" i="11" s="1"/>
  <c r="G42" i="11"/>
  <c r="I42" i="11" s="1"/>
  <c r="G36" i="11"/>
  <c r="I36" i="11" s="1"/>
  <c r="G233" i="11"/>
  <c r="I233" i="11" s="1"/>
  <c r="G33" i="11"/>
  <c r="I33" i="11" s="1"/>
  <c r="G31" i="11"/>
  <c r="I31" i="11" s="1"/>
  <c r="G4" i="11"/>
  <c r="I4" i="11" s="1"/>
  <c r="G203" i="11"/>
  <c r="I203" i="11" s="1"/>
  <c r="G7" i="11"/>
  <c r="I7" i="11" s="1"/>
  <c r="G245" i="11"/>
  <c r="I245" i="11" s="1"/>
  <c r="G78" i="11"/>
  <c r="I78" i="11" s="1"/>
  <c r="G46" i="11"/>
  <c r="I46" i="11" s="1"/>
  <c r="G264" i="11"/>
  <c r="I264" i="11" s="1"/>
  <c r="G47" i="11"/>
  <c r="I47" i="11" s="1"/>
  <c r="G39" i="11"/>
  <c r="I39" i="11" s="1"/>
  <c r="G29" i="11"/>
  <c r="I29" i="11" s="1"/>
  <c r="G202" i="11"/>
  <c r="I202" i="11" s="1"/>
  <c r="G129" i="11"/>
  <c r="I129" i="11" s="1"/>
  <c r="G9" i="11"/>
  <c r="I9" i="11" s="1"/>
  <c r="G6" i="11"/>
  <c r="I6" i="11" s="1"/>
  <c r="G143" i="11"/>
  <c r="I143" i="11" s="1"/>
  <c r="G179" i="11"/>
  <c r="I179" i="11" s="1"/>
  <c r="G135" i="11"/>
  <c r="I135" i="11" s="1"/>
  <c r="G169" i="11"/>
  <c r="I169" i="11" s="1"/>
  <c r="G243" i="11"/>
  <c r="I243" i="11" s="1"/>
  <c r="G155" i="11"/>
  <c r="I155" i="11" s="1"/>
  <c r="G34" i="11"/>
  <c r="I34" i="11" s="1"/>
  <c r="G51" i="11"/>
  <c r="I51" i="11" s="1"/>
  <c r="G55" i="11"/>
  <c r="I55" i="11" s="1"/>
  <c r="G58" i="11"/>
  <c r="I58" i="11" s="1"/>
  <c r="G225" i="11"/>
  <c r="I225" i="11" s="1"/>
  <c r="G50" i="11"/>
  <c r="I50" i="11" s="1"/>
  <c r="G218" i="11"/>
  <c r="I218" i="11" s="1"/>
  <c r="G280" i="11"/>
  <c r="I280" i="11" s="1"/>
  <c r="G250" i="11"/>
  <c r="I250" i="11" s="1"/>
  <c r="G150" i="11"/>
  <c r="I150" i="11" s="1"/>
  <c r="G138" i="11"/>
  <c r="I138" i="11" s="1"/>
  <c r="G126" i="11"/>
  <c r="I126" i="11" s="1"/>
  <c r="G15" i="11"/>
  <c r="I15" i="11" s="1"/>
  <c r="G248" i="11"/>
  <c r="I248" i="11" s="1"/>
  <c r="G64" i="11"/>
  <c r="I64" i="11" s="1"/>
  <c r="G197" i="11"/>
  <c r="I197" i="11" s="1"/>
  <c r="G141" i="11"/>
  <c r="I141" i="11" s="1"/>
  <c r="G106" i="11"/>
  <c r="I106" i="11" s="1"/>
  <c r="G120" i="11"/>
  <c r="I120" i="11" s="1"/>
  <c r="G204" i="11"/>
  <c r="I204" i="11" s="1"/>
  <c r="G66" i="11"/>
  <c r="I66" i="11" s="1"/>
  <c r="G247" i="11"/>
  <c r="I247" i="11" s="1"/>
  <c r="G2" i="11"/>
  <c r="I2" i="11" s="1"/>
  <c r="G222" i="11"/>
  <c r="I222" i="11" s="1"/>
  <c r="G75" i="11"/>
  <c r="I75" i="11" s="1"/>
  <c r="G49" i="11"/>
  <c r="I49" i="11" s="1"/>
  <c r="G90" i="11"/>
  <c r="I90" i="11" s="1"/>
  <c r="G81" i="11"/>
  <c r="I81" i="11" s="1"/>
  <c r="G166" i="11"/>
  <c r="I166" i="11" s="1"/>
  <c r="G140" i="11"/>
  <c r="I140" i="11" s="1"/>
  <c r="G89" i="11"/>
  <c r="I89" i="11" s="1"/>
  <c r="G187" i="11"/>
  <c r="I187" i="11" s="1"/>
  <c r="G175" i="11"/>
  <c r="I175" i="11" s="1"/>
  <c r="G279" i="11"/>
  <c r="I279" i="11" s="1"/>
  <c r="K13" i="11"/>
  <c r="K7" i="11"/>
  <c r="K175" i="11"/>
  <c r="K107" i="11"/>
  <c r="K182" i="11"/>
  <c r="K31" i="11"/>
  <c r="K140" i="11"/>
  <c r="K76" i="11"/>
  <c r="K217" i="11"/>
  <c r="K36" i="11"/>
  <c r="K90" i="11"/>
  <c r="K205" i="11"/>
  <c r="K98" i="11"/>
  <c r="K192" i="11"/>
  <c r="K222" i="11"/>
  <c r="K240" i="11"/>
  <c r="K254" i="11"/>
  <c r="K256" i="11"/>
  <c r="K66" i="11"/>
  <c r="K198" i="11"/>
  <c r="K276" i="11"/>
  <c r="K12" i="11"/>
  <c r="K106" i="11"/>
  <c r="K206" i="11"/>
  <c r="K152" i="11"/>
  <c r="K255" i="11"/>
  <c r="K64" i="11"/>
  <c r="K82" i="11"/>
  <c r="K214" i="11"/>
  <c r="K275" i="11"/>
  <c r="K126" i="11"/>
  <c r="K259" i="11"/>
  <c r="K260" i="11"/>
  <c r="K134" i="11"/>
  <c r="K250" i="11"/>
  <c r="K128" i="11"/>
  <c r="K85" i="11"/>
  <c r="K165" i="11"/>
  <c r="K50" i="11"/>
  <c r="K277" i="11"/>
  <c r="K167" i="11"/>
  <c r="K96" i="11"/>
  <c r="K55" i="11"/>
  <c r="K163" i="11"/>
  <c r="K265" i="11"/>
  <c r="K226" i="11"/>
  <c r="K155" i="11"/>
  <c r="K133" i="11"/>
  <c r="K38" i="11"/>
  <c r="K97" i="11"/>
  <c r="K135" i="11"/>
  <c r="K119" i="11"/>
  <c r="K262" i="11"/>
  <c r="K40" i="11"/>
  <c r="K6" i="11"/>
  <c r="K195" i="11"/>
  <c r="K28" i="11"/>
  <c r="K153" i="11"/>
  <c r="K213" i="11"/>
  <c r="K270" i="11"/>
  <c r="K252" i="11"/>
  <c r="K267" i="11"/>
  <c r="K111" i="11"/>
  <c r="K115" i="11"/>
  <c r="K88" i="11"/>
  <c r="K228" i="11"/>
  <c r="K63" i="11"/>
  <c r="K109" i="11"/>
  <c r="K26" i="11"/>
  <c r="K125" i="11"/>
  <c r="K184" i="11"/>
  <c r="K196" i="11"/>
  <c r="K232" i="11"/>
  <c r="K238" i="11"/>
  <c r="K258" i="11"/>
  <c r="K170" i="11"/>
  <c r="K8" i="11"/>
  <c r="K113" i="11"/>
  <c r="K241" i="11"/>
  <c r="K108" i="11"/>
  <c r="K122" i="11"/>
  <c r="K17" i="11"/>
  <c r="K103" i="11"/>
  <c r="K73" i="11"/>
  <c r="K242" i="11"/>
  <c r="K25" i="11"/>
  <c r="K246" i="11"/>
  <c r="K162" i="11"/>
  <c r="K56" i="11"/>
  <c r="K32" i="11"/>
  <c r="K114" i="11"/>
  <c r="K71" i="11"/>
  <c r="K160" i="11"/>
  <c r="K188" i="11"/>
  <c r="K65" i="11"/>
  <c r="K266" i="11"/>
  <c r="K181" i="11"/>
  <c r="K223" i="11"/>
  <c r="K3" i="11"/>
  <c r="K130" i="11"/>
  <c r="K53" i="11"/>
  <c r="K5" i="11"/>
  <c r="K117" i="11"/>
  <c r="K251" i="11"/>
  <c r="K124" i="11"/>
  <c r="K211" i="11"/>
  <c r="K220" i="11"/>
  <c r="K221" i="11"/>
  <c r="K101" i="11"/>
  <c r="K77" i="11"/>
  <c r="K174" i="11"/>
  <c r="K61" i="11"/>
  <c r="K183" i="11"/>
  <c r="K271" i="11"/>
  <c r="K164" i="11"/>
  <c r="K72" i="11"/>
  <c r="K142" i="11"/>
  <c r="K137" i="11"/>
  <c r="K157" i="11"/>
  <c r="K268" i="11"/>
  <c r="K190" i="11"/>
  <c r="K186" i="11"/>
  <c r="K123" i="11"/>
  <c r="K229" i="11"/>
  <c r="K161" i="11"/>
  <c r="K43" i="11"/>
  <c r="K45" i="11"/>
  <c r="K84" i="11"/>
  <c r="K283" i="11"/>
  <c r="K287" i="11"/>
  <c r="K291" i="11"/>
  <c r="K295" i="11"/>
  <c r="K299" i="11"/>
  <c r="K303" i="11"/>
  <c r="K307" i="11"/>
  <c r="K311" i="11"/>
  <c r="K315" i="11"/>
  <c r="K245" i="11"/>
  <c r="K231" i="11"/>
  <c r="K4" i="11"/>
  <c r="K230" i="11"/>
  <c r="K233" i="11"/>
  <c r="K191" i="11"/>
  <c r="K118" i="11"/>
  <c r="K19" i="11"/>
  <c r="K112" i="11"/>
  <c r="K147" i="11"/>
  <c r="K80" i="11"/>
  <c r="K27" i="11"/>
  <c r="K62" i="11"/>
  <c r="K210" i="11"/>
  <c r="K116" i="11"/>
  <c r="K263" i="11"/>
  <c r="K16" i="11"/>
  <c r="K22" i="11"/>
  <c r="K148" i="11"/>
  <c r="K59" i="11"/>
  <c r="K172" i="11"/>
  <c r="K216" i="11"/>
  <c r="K104" i="11"/>
  <c r="K151" i="11"/>
  <c r="K95" i="11"/>
  <c r="K224" i="11"/>
  <c r="K156" i="11"/>
  <c r="K158" i="11"/>
  <c r="K105" i="11"/>
  <c r="K70" i="11"/>
  <c r="K159" i="11"/>
  <c r="K178" i="11"/>
  <c r="K21" i="11"/>
  <c r="K154" i="11"/>
  <c r="K278" i="11"/>
  <c r="K281" i="11"/>
  <c r="K189" i="11"/>
  <c r="K44" i="11"/>
  <c r="K284" i="11"/>
  <c r="K289" i="11"/>
  <c r="K294" i="11"/>
  <c r="K300" i="11"/>
  <c r="K305" i="11"/>
  <c r="K310" i="11"/>
  <c r="K316" i="11"/>
  <c r="K320" i="11"/>
  <c r="K324" i="11"/>
  <c r="K328" i="11"/>
  <c r="K332" i="11"/>
  <c r="K336" i="11"/>
  <c r="K340" i="11"/>
  <c r="K344" i="11"/>
  <c r="K348" i="11"/>
  <c r="K352" i="11"/>
  <c r="K356" i="11"/>
  <c r="K360" i="11"/>
  <c r="K364" i="11"/>
  <c r="K368" i="11"/>
  <c r="K372" i="11"/>
  <c r="K376" i="11"/>
  <c r="K380" i="11"/>
  <c r="K384" i="11"/>
  <c r="K388" i="11"/>
  <c r="K392" i="11"/>
  <c r="K396" i="11"/>
  <c r="K400" i="11"/>
  <c r="K404" i="11"/>
  <c r="K408" i="11"/>
  <c r="K412" i="11"/>
  <c r="K416" i="11"/>
  <c r="K420" i="11"/>
  <c r="K424" i="11"/>
  <c r="K428" i="11"/>
  <c r="K432" i="11"/>
  <c r="K436" i="11"/>
  <c r="K440" i="11"/>
  <c r="K444" i="11"/>
  <c r="K448" i="11"/>
  <c r="K52" i="11"/>
  <c r="K86" i="11"/>
  <c r="K203" i="11"/>
  <c r="K177" i="11"/>
  <c r="K33" i="11"/>
  <c r="K180" i="11"/>
  <c r="K42" i="11"/>
  <c r="K139" i="11"/>
  <c r="K200" i="11"/>
  <c r="K83" i="11"/>
  <c r="K30" i="11"/>
  <c r="K69" i="11"/>
  <c r="K57" i="11"/>
  <c r="K234" i="11"/>
  <c r="K92" i="11"/>
  <c r="K35" i="11"/>
  <c r="K23" i="11"/>
  <c r="K261" i="11"/>
  <c r="K274" i="11"/>
  <c r="K132" i="11"/>
  <c r="K79" i="11"/>
  <c r="K253" i="11"/>
  <c r="K193" i="11"/>
  <c r="K60" i="11"/>
  <c r="K99" i="11"/>
  <c r="K173" i="11"/>
  <c r="K168" i="11"/>
  <c r="K176" i="11"/>
  <c r="K102" i="11"/>
  <c r="K272" i="11"/>
  <c r="K202" i="11"/>
  <c r="K29" i="11"/>
  <c r="K39" i="11"/>
  <c r="K47" i="11"/>
  <c r="K264" i="11"/>
  <c r="K46" i="11"/>
  <c r="K78" i="11"/>
  <c r="K185" i="11"/>
  <c r="K209" i="11"/>
  <c r="K285" i="11"/>
  <c r="K290" i="11"/>
  <c r="K296" i="11"/>
  <c r="K301" i="11"/>
  <c r="K306" i="11"/>
  <c r="K312" i="11"/>
  <c r="K317" i="11"/>
  <c r="K321" i="11"/>
  <c r="K325" i="11"/>
  <c r="K329" i="11"/>
  <c r="K333" i="11"/>
  <c r="K337" i="11"/>
  <c r="K341" i="11"/>
  <c r="K345" i="11"/>
  <c r="K349" i="11"/>
  <c r="K353" i="11"/>
  <c r="K357" i="11"/>
  <c r="K361" i="11"/>
  <c r="K365" i="11"/>
  <c r="K369" i="11"/>
  <c r="K373" i="11"/>
  <c r="K377" i="11"/>
  <c r="K381" i="11"/>
  <c r="K385" i="11"/>
  <c r="K389" i="11"/>
  <c r="K393" i="11"/>
  <c r="K397" i="11"/>
  <c r="K401" i="11"/>
  <c r="K405" i="11"/>
  <c r="K409" i="11"/>
  <c r="K413" i="11"/>
  <c r="K417" i="11"/>
  <c r="K421" i="11"/>
  <c r="K425" i="11"/>
  <c r="K429" i="11"/>
  <c r="K433" i="11"/>
  <c r="K437" i="11"/>
  <c r="K441" i="11"/>
  <c r="K445" i="11"/>
  <c r="K449" i="11"/>
  <c r="K279" i="11"/>
  <c r="K127" i="11"/>
  <c r="K89" i="11"/>
  <c r="K37" i="11"/>
  <c r="K81" i="11"/>
  <c r="K194" i="11"/>
  <c r="K75" i="11"/>
  <c r="K207" i="11"/>
  <c r="K247" i="11"/>
  <c r="K110" i="11"/>
  <c r="K120" i="11"/>
  <c r="K14" i="11"/>
  <c r="K197" i="11"/>
  <c r="K146" i="11"/>
  <c r="K15" i="11"/>
  <c r="K219" i="11"/>
  <c r="K150" i="11"/>
  <c r="K121" i="11"/>
  <c r="K218" i="11"/>
  <c r="K145" i="11"/>
  <c r="K58" i="11"/>
  <c r="K269" i="11"/>
  <c r="K34" i="11"/>
  <c r="K67" i="11"/>
  <c r="K169" i="11"/>
  <c r="K91" i="11"/>
  <c r="K143" i="11"/>
  <c r="K18" i="11"/>
  <c r="K129" i="11"/>
  <c r="K273" i="11"/>
  <c r="K257" i="11"/>
  <c r="K68" i="11"/>
  <c r="K131" i="11"/>
  <c r="K74" i="11"/>
  <c r="K208" i="11"/>
  <c r="K235" i="11"/>
  <c r="K93" i="11"/>
  <c r="K237" i="11"/>
  <c r="K286" i="11"/>
  <c r="K292" i="11"/>
  <c r="K297" i="11"/>
  <c r="K302" i="11"/>
  <c r="K308" i="11"/>
  <c r="K313" i="11"/>
  <c r="K318" i="11"/>
  <c r="K322" i="11"/>
  <c r="K326" i="11"/>
  <c r="K330" i="11"/>
  <c r="K334" i="11"/>
  <c r="K338" i="11"/>
  <c r="K342" i="11"/>
  <c r="K346" i="11"/>
  <c r="K350" i="11"/>
  <c r="K354" i="11"/>
  <c r="K358" i="11"/>
  <c r="K362" i="11"/>
  <c r="K366" i="11"/>
  <c r="K370" i="11"/>
  <c r="K374" i="11"/>
  <c r="K378" i="11"/>
  <c r="K382" i="11"/>
  <c r="K386" i="11"/>
  <c r="K390" i="11"/>
  <c r="K394" i="11"/>
  <c r="K398" i="11"/>
  <c r="K402" i="11"/>
  <c r="K406" i="11"/>
  <c r="K410" i="11"/>
  <c r="K414" i="11"/>
  <c r="K418" i="11"/>
  <c r="K422" i="11"/>
  <c r="K426" i="11"/>
  <c r="K430" i="11"/>
  <c r="K434" i="11"/>
  <c r="K438" i="11"/>
  <c r="K442" i="11"/>
  <c r="K446" i="11"/>
  <c r="K450" i="11"/>
  <c r="K187" i="11"/>
  <c r="K49" i="11"/>
  <c r="K204" i="11"/>
  <c r="K248" i="11"/>
  <c r="K280" i="11"/>
  <c r="K51" i="11"/>
  <c r="K179" i="11"/>
  <c r="K215" i="11"/>
  <c r="K239" i="11"/>
  <c r="K282" i="11"/>
  <c r="K304" i="11"/>
  <c r="K323" i="11"/>
  <c r="K339" i="11"/>
  <c r="K355" i="11"/>
  <c r="K371" i="11"/>
  <c r="K387" i="11"/>
  <c r="K403" i="11"/>
  <c r="K419" i="11"/>
  <c r="K435" i="11"/>
  <c r="K451" i="11"/>
  <c r="K236" i="11"/>
  <c r="K10" i="11"/>
  <c r="K201" i="11"/>
  <c r="K199" i="11"/>
  <c r="K54" i="11"/>
  <c r="K87" i="11"/>
  <c r="K249" i="11"/>
  <c r="K41" i="11"/>
  <c r="K24" i="11"/>
  <c r="K288" i="11"/>
  <c r="K309" i="11"/>
  <c r="K327" i="11"/>
  <c r="K343" i="11"/>
  <c r="K359" i="11"/>
  <c r="K375" i="11"/>
  <c r="K391" i="11"/>
  <c r="K407" i="11"/>
  <c r="K423" i="11"/>
  <c r="K439" i="11"/>
  <c r="K166" i="11"/>
  <c r="K2" i="11"/>
  <c r="K141" i="11"/>
  <c r="K138" i="11"/>
  <c r="K225" i="11"/>
  <c r="K243" i="11"/>
  <c r="K9" i="11"/>
  <c r="K136" i="11"/>
  <c r="K48" i="11"/>
  <c r="K293" i="11"/>
  <c r="K314" i="11"/>
  <c r="K331" i="11"/>
  <c r="K347" i="11"/>
  <c r="K363" i="11"/>
  <c r="K379" i="11"/>
  <c r="K395" i="11"/>
  <c r="K411" i="11"/>
  <c r="K427" i="11"/>
  <c r="K443" i="11"/>
  <c r="K100" i="11"/>
  <c r="K171" i="11"/>
  <c r="K20" i="11"/>
  <c r="K11" i="11"/>
  <c r="K144" i="11"/>
  <c r="K149" i="11"/>
  <c r="K244" i="11"/>
  <c r="K227" i="11"/>
  <c r="K212" i="11"/>
  <c r="K94" i="11"/>
  <c r="K298" i="11"/>
  <c r="K319" i="11"/>
  <c r="K335" i="11"/>
  <c r="K351" i="11"/>
  <c r="K367" i="11"/>
  <c r="K383" i="11"/>
  <c r="K399" i="11"/>
  <c r="K415" i="11"/>
  <c r="K431" i="11"/>
  <c r="K447" i="11"/>
  <c r="G44" i="11"/>
  <c r="I44" i="11" s="1"/>
  <c r="G189" i="11"/>
  <c r="I189" i="11" s="1"/>
  <c r="G281" i="11"/>
  <c r="I281" i="11" s="1"/>
  <c r="G278" i="11"/>
  <c r="I278" i="11" s="1"/>
  <c r="G154" i="11"/>
  <c r="I154" i="11" s="1"/>
  <c r="G21" i="11"/>
  <c r="I21" i="11" s="1"/>
  <c r="G178" i="11"/>
  <c r="I178" i="11" s="1"/>
  <c r="G159" i="11"/>
  <c r="I159" i="11" s="1"/>
  <c r="G70" i="11"/>
  <c r="I70" i="11" s="1"/>
  <c r="G272" i="11"/>
  <c r="I272" i="11" s="1"/>
  <c r="G195" i="11"/>
  <c r="I195" i="11" s="1"/>
  <c r="G158" i="11"/>
  <c r="I158" i="11" s="1"/>
  <c r="G176" i="11"/>
  <c r="I176" i="11" s="1"/>
  <c r="G119" i="11"/>
  <c r="I119" i="11" s="1"/>
  <c r="G224" i="11"/>
  <c r="I224" i="11" s="1"/>
  <c r="G173" i="11"/>
  <c r="I173" i="11" s="1"/>
  <c r="G133" i="11"/>
  <c r="I133" i="11" s="1"/>
  <c r="G151" i="11"/>
  <c r="I151" i="11" s="1"/>
  <c r="G60" i="11"/>
  <c r="I60" i="11" s="1"/>
  <c r="G163" i="11"/>
  <c r="I163" i="11" s="1"/>
  <c r="G216" i="11"/>
  <c r="I216" i="11" s="1"/>
  <c r="G253" i="11"/>
  <c r="I253" i="11" s="1"/>
  <c r="G277" i="11"/>
  <c r="I277" i="11" s="1"/>
  <c r="G59" i="11"/>
  <c r="I59" i="11" s="1"/>
  <c r="G132" i="11"/>
  <c r="I132" i="11" s="1"/>
  <c r="G128" i="11"/>
  <c r="I128" i="11" s="1"/>
  <c r="G22" i="11"/>
  <c r="I22" i="11" s="1"/>
  <c r="G261" i="11"/>
  <c r="I261" i="11" s="1"/>
  <c r="G259" i="11"/>
  <c r="I259" i="11" s="1"/>
  <c r="G263" i="11"/>
  <c r="I263" i="11" s="1"/>
  <c r="G35" i="11"/>
  <c r="I35" i="11" s="1"/>
  <c r="G82" i="11"/>
  <c r="I82" i="11" s="1"/>
  <c r="G210" i="11"/>
  <c r="I210" i="11" s="1"/>
  <c r="G234" i="11"/>
  <c r="I234" i="11" s="1"/>
  <c r="G206" i="11"/>
  <c r="I206" i="11" s="1"/>
  <c r="G27" i="11"/>
  <c r="I27" i="11" s="1"/>
  <c r="G69" i="11"/>
  <c r="I69" i="11" s="1"/>
  <c r="G198" i="11"/>
  <c r="I198" i="11" s="1"/>
  <c r="G147" i="11"/>
  <c r="I147" i="11" s="1"/>
  <c r="G83" i="11"/>
  <c r="I83" i="11" s="1"/>
  <c r="G240" i="11"/>
  <c r="I240" i="11" s="1"/>
  <c r="G19" i="11"/>
  <c r="I19" i="11" s="1"/>
  <c r="G139" i="11"/>
  <c r="I139" i="11" s="1"/>
  <c r="G205" i="11"/>
  <c r="I205" i="11" s="1"/>
  <c r="G191" i="11"/>
  <c r="I191" i="11" s="1"/>
  <c r="G180" i="11"/>
  <c r="I180" i="11" s="1"/>
  <c r="G76" i="11"/>
  <c r="I76" i="11" s="1"/>
  <c r="G230" i="11"/>
  <c r="I230" i="11" s="1"/>
  <c r="G177" i="11"/>
  <c r="I177" i="11" s="1"/>
  <c r="G107" i="11"/>
  <c r="I107" i="11" s="1"/>
  <c r="G231" i="11"/>
  <c r="I231" i="11" s="1"/>
  <c r="G86" i="11"/>
  <c r="I86" i="11" s="1"/>
  <c r="G48" i="11"/>
  <c r="I48" i="11" s="1"/>
  <c r="G24" i="11"/>
  <c r="I24" i="11" s="1"/>
  <c r="G239" i="11"/>
  <c r="I239" i="11" s="1"/>
  <c r="G212" i="11"/>
  <c r="I212" i="11" s="1"/>
  <c r="G136" i="11"/>
  <c r="I136" i="11" s="1"/>
  <c r="G41" i="11"/>
  <c r="I41" i="11" s="1"/>
  <c r="G215" i="11"/>
  <c r="I215" i="11" s="1"/>
  <c r="G227" i="11"/>
  <c r="I227" i="11" s="1"/>
  <c r="G28" i="11"/>
  <c r="I28" i="11" s="1"/>
  <c r="G18" i="11"/>
  <c r="I18" i="11" s="1"/>
  <c r="G249" i="11"/>
  <c r="I249" i="11" s="1"/>
  <c r="G262" i="11"/>
  <c r="I262" i="11" s="1"/>
  <c r="G91" i="11"/>
  <c r="I91" i="11" s="1"/>
  <c r="G244" i="11"/>
  <c r="I244" i="11" s="1"/>
  <c r="G38" i="11"/>
  <c r="I38" i="11" s="1"/>
  <c r="G67" i="11"/>
  <c r="I67" i="11" s="1"/>
  <c r="G87" i="11"/>
  <c r="I87" i="11" s="1"/>
  <c r="G265" i="11"/>
  <c r="I265" i="11" s="1"/>
  <c r="G269" i="11"/>
  <c r="I269" i="11" s="1"/>
  <c r="G149" i="11"/>
  <c r="I149" i="11" s="1"/>
  <c r="G167" i="11"/>
  <c r="I167" i="11" s="1"/>
  <c r="G145" i="11"/>
  <c r="I145" i="11" s="1"/>
  <c r="G54" i="11"/>
  <c r="I54" i="11" s="1"/>
  <c r="G85" i="11"/>
  <c r="I85" i="11" s="1"/>
  <c r="G121" i="11"/>
  <c r="I121" i="11" s="1"/>
  <c r="G144" i="11"/>
  <c r="I144" i="11" s="1"/>
  <c r="G260" i="11"/>
  <c r="I260" i="11" s="1"/>
  <c r="G219" i="11"/>
  <c r="I219" i="11" s="1"/>
  <c r="G199" i="11"/>
  <c r="I199" i="11" s="1"/>
  <c r="G214" i="11"/>
  <c r="I214" i="11" s="1"/>
  <c r="G146" i="11"/>
  <c r="I146" i="11" s="1"/>
  <c r="G11" i="11"/>
  <c r="I11" i="11" s="1"/>
  <c r="G152" i="11"/>
  <c r="I152" i="11" s="1"/>
  <c r="G14" i="11"/>
  <c r="I14" i="11" s="1"/>
  <c r="G201" i="11"/>
  <c r="I201" i="11" s="1"/>
  <c r="G276" i="11"/>
  <c r="I276" i="11" s="1"/>
  <c r="G110" i="11"/>
  <c r="I110" i="11" s="1"/>
  <c r="G20" i="11"/>
  <c r="I20" i="11" s="1"/>
  <c r="G254" i="11"/>
  <c r="I254" i="11" s="1"/>
  <c r="G207" i="11"/>
  <c r="I207" i="11" s="1"/>
  <c r="G10" i="11"/>
  <c r="I10" i="11" s="1"/>
  <c r="G98" i="11"/>
  <c r="I98" i="11" s="1"/>
  <c r="G194" i="11"/>
  <c r="I194" i="11" s="1"/>
  <c r="G171" i="11"/>
  <c r="I171" i="11" s="1"/>
  <c r="G217" i="11"/>
  <c r="I217" i="11" s="1"/>
  <c r="G37" i="11"/>
  <c r="I37" i="11" s="1"/>
  <c r="G236" i="11"/>
  <c r="I236" i="11" s="1"/>
  <c r="G182" i="11"/>
  <c r="I182" i="11" s="1"/>
  <c r="G127" i="11"/>
  <c r="I127" i="11" s="1"/>
  <c r="G100" i="11"/>
  <c r="I100" i="11" s="1"/>
  <c r="G13" i="11"/>
  <c r="I13" i="11" s="1"/>
  <c r="Y39" i="9"/>
  <c r="G84" i="11"/>
  <c r="I84" i="11" s="1"/>
  <c r="G45" i="11"/>
  <c r="I45" i="11" s="1"/>
  <c r="G43" i="11"/>
  <c r="I43" i="11" s="1"/>
  <c r="G161" i="11"/>
  <c r="I161" i="11" s="1"/>
  <c r="G229" i="11"/>
  <c r="I229" i="11" s="1"/>
  <c r="G123" i="11"/>
  <c r="I123" i="11" s="1"/>
  <c r="G186" i="11"/>
  <c r="I186" i="11" s="1"/>
  <c r="G190" i="11"/>
  <c r="I190" i="11" s="1"/>
  <c r="G268" i="11"/>
  <c r="I268" i="11" s="1"/>
  <c r="G157" i="11"/>
  <c r="I157" i="11" s="1"/>
  <c r="G137" i="11"/>
  <c r="I137" i="11" s="1"/>
  <c r="G142" i="11"/>
  <c r="I142" i="11" s="1"/>
  <c r="G72" i="11"/>
  <c r="I72" i="11" s="1"/>
  <c r="G164" i="11"/>
  <c r="I164" i="11" s="1"/>
  <c r="G271" i="11"/>
  <c r="I271" i="11" s="1"/>
  <c r="G183" i="11"/>
  <c r="I183" i="11" s="1"/>
  <c r="G61" i="11"/>
  <c r="I61" i="11" s="1"/>
  <c r="G174" i="11"/>
  <c r="I174" i="11" s="1"/>
  <c r="G77" i="11"/>
  <c r="I77" i="11" s="1"/>
  <c r="G101" i="11"/>
  <c r="I101" i="11" s="1"/>
  <c r="G221" i="11"/>
  <c r="I221" i="11" s="1"/>
  <c r="G220" i="11"/>
  <c r="I220" i="11" s="1"/>
  <c r="G211" i="11"/>
  <c r="I211" i="11" s="1"/>
  <c r="G124" i="11"/>
  <c r="I124" i="11" s="1"/>
  <c r="G251" i="11"/>
  <c r="I251" i="11" s="1"/>
  <c r="G117" i="11"/>
  <c r="I117" i="11" s="1"/>
  <c r="G5" i="11"/>
  <c r="I5" i="11" s="1"/>
  <c r="G53" i="11"/>
  <c r="I53" i="11" s="1"/>
  <c r="G130" i="11"/>
  <c r="I130" i="11" s="1"/>
  <c r="G3" i="11"/>
  <c r="I3" i="11" s="1"/>
  <c r="G223" i="11"/>
  <c r="I223" i="11" s="1"/>
  <c r="G181" i="11"/>
  <c r="I181" i="11" s="1"/>
  <c r="G266" i="11"/>
  <c r="I266" i="11" s="1"/>
  <c r="G65" i="11"/>
  <c r="I65" i="11" s="1"/>
  <c r="G188" i="11"/>
  <c r="I188" i="11" s="1"/>
  <c r="G160" i="11"/>
  <c r="I160" i="11" s="1"/>
  <c r="G71" i="11"/>
  <c r="I71" i="11" s="1"/>
  <c r="G114" i="11"/>
  <c r="I114" i="11" s="1"/>
  <c r="G32" i="11"/>
  <c r="I32" i="11" s="1"/>
  <c r="G56" i="11"/>
  <c r="I56" i="11" s="1"/>
  <c r="G162" i="11"/>
  <c r="I162" i="11" s="1"/>
  <c r="G246" i="11"/>
  <c r="I246" i="11" s="1"/>
  <c r="G25" i="11"/>
  <c r="I25" i="11" s="1"/>
  <c r="G242" i="11"/>
  <c r="I242" i="11" s="1"/>
  <c r="G73" i="11"/>
  <c r="I73" i="11" s="1"/>
  <c r="G103" i="11"/>
  <c r="I103" i="11" s="1"/>
  <c r="G17" i="11"/>
  <c r="I17" i="11" s="1"/>
  <c r="G122" i="11"/>
  <c r="I122" i="11" s="1"/>
  <c r="G108" i="11"/>
  <c r="I108" i="11" s="1"/>
  <c r="G241" i="11"/>
  <c r="I241" i="11" s="1"/>
  <c r="G113" i="11"/>
  <c r="I113" i="11" s="1"/>
  <c r="G8" i="11"/>
  <c r="I8" i="11" s="1"/>
  <c r="G170" i="11"/>
  <c r="I170" i="11" s="1"/>
  <c r="G258" i="11"/>
  <c r="I258" i="11" s="1"/>
  <c r="G238" i="11"/>
  <c r="I238" i="11" s="1"/>
  <c r="G232" i="11"/>
  <c r="I232" i="11" s="1"/>
  <c r="G196" i="11"/>
  <c r="I196" i="11" s="1"/>
  <c r="G184" i="11"/>
  <c r="I184" i="11" s="1"/>
  <c r="G125" i="11"/>
  <c r="I125" i="11" s="1"/>
  <c r="G26" i="11"/>
  <c r="I26" i="11" s="1"/>
  <c r="G109" i="11"/>
  <c r="I109" i="11" s="1"/>
  <c r="G63" i="11"/>
  <c r="I63" i="11" s="1"/>
  <c r="G228" i="11"/>
  <c r="I228" i="11" s="1"/>
  <c r="G88" i="11"/>
  <c r="I88" i="11" s="1"/>
  <c r="G115" i="11"/>
  <c r="I115" i="11" s="1"/>
  <c r="G111" i="11"/>
  <c r="I111" i="11" s="1"/>
  <c r="G267" i="11"/>
  <c r="I267" i="11" s="1"/>
  <c r="G252" i="11"/>
  <c r="I252" i="11" s="1"/>
  <c r="G270" i="11"/>
  <c r="I270" i="11" s="1"/>
  <c r="G213" i="11"/>
  <c r="I213" i="11" s="1"/>
  <c r="V15" i="11"/>
  <c r="W15" i="11" s="1"/>
  <c r="N4" i="11" l="1"/>
  <c r="O2" i="11" s="1"/>
  <c r="L2" i="11" s="1"/>
  <c r="B2" i="15" s="1"/>
  <c r="E4" i="11"/>
  <c r="C4" i="11"/>
  <c r="T6" i="11"/>
  <c r="U5" i="11"/>
  <c r="Z10" i="11"/>
  <c r="W4" i="11"/>
  <c r="F2" i="11" s="1"/>
  <c r="D3" i="11"/>
  <c r="D2" i="11"/>
  <c r="V16" i="11"/>
  <c r="V17" i="11" s="1"/>
  <c r="N5" i="11" l="1"/>
  <c r="O3" i="11" s="1"/>
  <c r="L3" i="11" s="1"/>
  <c r="B3" i="15" s="1"/>
  <c r="E5" i="11"/>
  <c r="D4" i="11"/>
  <c r="C5" i="11"/>
  <c r="T7" i="11"/>
  <c r="U6" i="11"/>
  <c r="F4" i="11"/>
  <c r="M2" i="11"/>
  <c r="C2" i="15" s="1"/>
  <c r="M4" i="11"/>
  <c r="C4" i="15" s="1"/>
  <c r="F3" i="11"/>
  <c r="M3" i="11"/>
  <c r="C3" i="15" s="1"/>
  <c r="W16" i="11"/>
  <c r="W17" i="11"/>
  <c r="V18" i="11"/>
  <c r="W18" i="11" s="1"/>
  <c r="M5" i="11" l="1"/>
  <c r="C5" i="15" s="1"/>
  <c r="N6" i="11"/>
  <c r="O4" i="11" s="1"/>
  <c r="L4" i="11" s="1"/>
  <c r="B4" i="15" s="1"/>
  <c r="E6" i="11"/>
  <c r="D5" i="11"/>
  <c r="F5" i="11"/>
  <c r="C6" i="11"/>
  <c r="T8" i="11"/>
  <c r="U7" i="11"/>
  <c r="N7" i="11" l="1"/>
  <c r="O5" i="11" s="1"/>
  <c r="L5" i="11" s="1"/>
  <c r="B5" i="15" s="1"/>
  <c r="E7" i="11"/>
  <c r="D6" i="11"/>
  <c r="F6" i="11"/>
  <c r="U8" i="11"/>
  <c r="T9" i="11"/>
  <c r="M6" i="11"/>
  <c r="C6" i="15" s="1"/>
  <c r="C7" i="11"/>
  <c r="N8" i="11" l="1"/>
  <c r="O6" i="11" s="1"/>
  <c r="L6" i="11" s="1"/>
  <c r="B6" i="15" s="1"/>
  <c r="E8" i="11"/>
  <c r="D7" i="11"/>
  <c r="F7" i="11"/>
  <c r="M7" i="11"/>
  <c r="C7" i="15" s="1"/>
  <c r="T10" i="11"/>
  <c r="U9" i="11"/>
  <c r="C8" i="11"/>
  <c r="N9" i="11" l="1"/>
  <c r="O7" i="11" s="1"/>
  <c r="L7" i="11" s="1"/>
  <c r="B7" i="15" s="1"/>
  <c r="E9" i="11"/>
  <c r="D8" i="11"/>
  <c r="F8" i="11"/>
  <c r="C9" i="11"/>
  <c r="T11" i="11"/>
  <c r="U10" i="11"/>
  <c r="M8" i="11"/>
  <c r="C8" i="15" s="1"/>
  <c r="N10" i="11" l="1"/>
  <c r="O8" i="11" s="1"/>
  <c r="L8" i="11" s="1"/>
  <c r="B8" i="15" s="1"/>
  <c r="E10" i="11"/>
  <c r="D9" i="11"/>
  <c r="F9" i="11"/>
  <c r="M9" i="11"/>
  <c r="C9" i="15" s="1"/>
  <c r="C10" i="11"/>
  <c r="T12" i="11"/>
  <c r="U11" i="11"/>
  <c r="N11" i="11" l="1"/>
  <c r="O9" i="11" s="1"/>
  <c r="L9" i="11" s="1"/>
  <c r="B9" i="15" s="1"/>
  <c r="E11" i="11"/>
  <c r="D10" i="11"/>
  <c r="F10" i="11"/>
  <c r="C11" i="11"/>
  <c r="U12" i="11"/>
  <c r="T13" i="11"/>
  <c r="M10" i="11"/>
  <c r="C10" i="15" s="1"/>
  <c r="N12" i="11" l="1"/>
  <c r="O10" i="11" s="1"/>
  <c r="L10" i="11" s="1"/>
  <c r="B10" i="15" s="1"/>
  <c r="E12" i="11"/>
  <c r="D11" i="11"/>
  <c r="F11" i="11"/>
  <c r="M11" i="11"/>
  <c r="C11" i="15" s="1"/>
  <c r="T14" i="11"/>
  <c r="U13" i="11"/>
  <c r="C12" i="11"/>
  <c r="N13" i="11" l="1"/>
  <c r="O11" i="11" s="1"/>
  <c r="L11" i="11" s="1"/>
  <c r="B11" i="15" s="1"/>
  <c r="E13" i="11"/>
  <c r="D12" i="11"/>
  <c r="F12" i="11"/>
  <c r="M12" i="11"/>
  <c r="C12" i="15" s="1"/>
  <c r="C13" i="11"/>
  <c r="U14" i="11"/>
  <c r="T15" i="11"/>
  <c r="N14" i="11" l="1"/>
  <c r="O12" i="11" s="1"/>
  <c r="L12" i="11" s="1"/>
  <c r="B12" i="15" s="1"/>
  <c r="E14" i="11"/>
  <c r="D13" i="11"/>
  <c r="F13" i="11"/>
  <c r="T16" i="11"/>
  <c r="U15" i="11"/>
  <c r="C14" i="11"/>
  <c r="M13" i="11"/>
  <c r="C13" i="15" s="1"/>
  <c r="N15" i="11" l="1"/>
  <c r="O13" i="11" s="1"/>
  <c r="L13" i="11" s="1"/>
  <c r="B13" i="15" s="1"/>
  <c r="E15" i="11"/>
  <c r="D14" i="11"/>
  <c r="F14" i="11"/>
  <c r="M14" i="11"/>
  <c r="C14" i="15" s="1"/>
  <c r="C15" i="11"/>
  <c r="U16" i="11"/>
  <c r="T17" i="11"/>
  <c r="N16" i="11" l="1"/>
  <c r="O14" i="11" s="1"/>
  <c r="L14" i="11" s="1"/>
  <c r="B14" i="15" s="1"/>
  <c r="E16" i="11"/>
  <c r="D15" i="11"/>
  <c r="F15" i="11"/>
  <c r="C16" i="11"/>
  <c r="T18" i="11"/>
  <c r="U17" i="11"/>
  <c r="M15" i="11"/>
  <c r="C15" i="15" s="1"/>
  <c r="N17" i="11" l="1"/>
  <c r="O15" i="11" s="1"/>
  <c r="L15" i="11" s="1"/>
  <c r="B15" i="15" s="1"/>
  <c r="E17" i="11"/>
  <c r="D16" i="11"/>
  <c r="F16" i="11"/>
  <c r="C17" i="11"/>
  <c r="U18" i="11"/>
  <c r="T19" i="11"/>
  <c r="M16" i="11"/>
  <c r="C16" i="15" s="1"/>
  <c r="N18" i="11" l="1"/>
  <c r="O16" i="11" s="1"/>
  <c r="L16" i="11" s="1"/>
  <c r="B16" i="15" s="1"/>
  <c r="E18" i="11"/>
  <c r="D17" i="11"/>
  <c r="F17" i="11"/>
  <c r="C18" i="11"/>
  <c r="T20" i="11"/>
  <c r="U19" i="11"/>
  <c r="M17" i="11"/>
  <c r="C17" i="15" s="1"/>
  <c r="N19" i="11" l="1"/>
  <c r="O17" i="11" s="1"/>
  <c r="L17" i="11" s="1"/>
  <c r="B17" i="15" s="1"/>
  <c r="E19" i="11"/>
  <c r="D18" i="11"/>
  <c r="F18" i="11"/>
  <c r="C19" i="11"/>
  <c r="U20" i="11"/>
  <c r="T21" i="11"/>
  <c r="M18" i="11"/>
  <c r="C18" i="15" s="1"/>
  <c r="N20" i="11" l="1"/>
  <c r="O18" i="11" s="1"/>
  <c r="L18" i="11" s="1"/>
  <c r="B18" i="15" s="1"/>
  <c r="E20" i="11"/>
  <c r="D19" i="11"/>
  <c r="F19" i="11"/>
  <c r="C20" i="11"/>
  <c r="U21" i="11"/>
  <c r="T22" i="11"/>
  <c r="M19" i="11"/>
  <c r="C19" i="15" s="1"/>
  <c r="N21" i="11" l="1"/>
  <c r="O19" i="11" s="1"/>
  <c r="L19" i="11" s="1"/>
  <c r="B19" i="15" s="1"/>
  <c r="E21" i="11"/>
  <c r="D20" i="11"/>
  <c r="F20" i="11"/>
  <c r="U22" i="11"/>
  <c r="T23" i="11"/>
  <c r="C21" i="11"/>
  <c r="M20" i="11"/>
  <c r="C20" i="15" s="1"/>
  <c r="N22" i="11" l="1"/>
  <c r="O20" i="11" s="1"/>
  <c r="L20" i="11" s="1"/>
  <c r="B20" i="15" s="1"/>
  <c r="E22" i="11"/>
  <c r="D21" i="11"/>
  <c r="F21" i="11"/>
  <c r="M21" i="11"/>
  <c r="C21" i="15" s="1"/>
  <c r="U23" i="11"/>
  <c r="T24" i="11"/>
  <c r="C22" i="11"/>
  <c r="N23" i="11" l="1"/>
  <c r="O21" i="11" s="1"/>
  <c r="L21" i="11" s="1"/>
  <c r="B21" i="15" s="1"/>
  <c r="E23" i="11"/>
  <c r="D22" i="11"/>
  <c r="F22" i="11"/>
  <c r="T25" i="11"/>
  <c r="U24" i="11"/>
  <c r="C23" i="11"/>
  <c r="M22" i="11"/>
  <c r="C22" i="15" s="1"/>
  <c r="N24" i="11" l="1"/>
  <c r="O22" i="11" s="1"/>
  <c r="L22" i="11" s="1"/>
  <c r="B22" i="15" s="1"/>
  <c r="E24" i="11"/>
  <c r="D23" i="11"/>
  <c r="F23" i="11"/>
  <c r="M23" i="11"/>
  <c r="C23" i="15" s="1"/>
  <c r="C24" i="11"/>
  <c r="T26" i="11"/>
  <c r="U25" i="11"/>
  <c r="N25" i="11" l="1"/>
  <c r="O23" i="11" s="1"/>
  <c r="L23" i="11" s="1"/>
  <c r="B23" i="15" s="1"/>
  <c r="E25" i="11"/>
  <c r="D24" i="11"/>
  <c r="F24" i="11"/>
  <c r="M24" i="11"/>
  <c r="C24" i="15" s="1"/>
  <c r="C25" i="11"/>
  <c r="T27" i="11"/>
  <c r="U26" i="11"/>
  <c r="N26" i="11" l="1"/>
  <c r="O24" i="11" s="1"/>
  <c r="L24" i="11" s="1"/>
  <c r="B24" i="15" s="1"/>
  <c r="E26" i="11"/>
  <c r="D25" i="11"/>
  <c r="F25" i="11"/>
  <c r="C26" i="11"/>
  <c r="T28" i="11"/>
  <c r="U27" i="11"/>
  <c r="M25" i="11"/>
  <c r="C25" i="15" s="1"/>
  <c r="N27" i="11" l="1"/>
  <c r="O25" i="11" s="1"/>
  <c r="L25" i="11" s="1"/>
  <c r="B25" i="15" s="1"/>
  <c r="E27" i="11"/>
  <c r="D26" i="11"/>
  <c r="F26" i="11"/>
  <c r="T29" i="11"/>
  <c r="U28" i="11"/>
  <c r="C27" i="11"/>
  <c r="M26" i="11"/>
  <c r="C26" i="15" s="1"/>
  <c r="N28" i="11" l="1"/>
  <c r="O26" i="11" s="1"/>
  <c r="L26" i="11" s="1"/>
  <c r="B26" i="15" s="1"/>
  <c r="E28" i="11"/>
  <c r="D27" i="11"/>
  <c r="F27" i="11"/>
  <c r="M27" i="11"/>
  <c r="C27" i="15" s="1"/>
  <c r="C28" i="11"/>
  <c r="T30" i="11"/>
  <c r="U29" i="11"/>
  <c r="N29" i="11" l="1"/>
  <c r="O27" i="11" s="1"/>
  <c r="L27" i="11" s="1"/>
  <c r="B27" i="15" s="1"/>
  <c r="E29" i="11"/>
  <c r="D28" i="11"/>
  <c r="F28" i="11"/>
  <c r="M28" i="11"/>
  <c r="C28" i="15" s="1"/>
  <c r="C29" i="11"/>
  <c r="U30" i="11"/>
  <c r="T31" i="11"/>
  <c r="N30" i="11" l="1"/>
  <c r="O28" i="11" s="1"/>
  <c r="L28" i="11" s="1"/>
  <c r="B28" i="15" s="1"/>
  <c r="E30" i="11"/>
  <c r="D29" i="11"/>
  <c r="F29" i="11"/>
  <c r="C30" i="11"/>
  <c r="M29" i="11"/>
  <c r="C29" i="15" s="1"/>
  <c r="T32" i="11"/>
  <c r="U31" i="11"/>
  <c r="N31" i="11" l="1"/>
  <c r="O29" i="11" s="1"/>
  <c r="L29" i="11" s="1"/>
  <c r="B29" i="15" s="1"/>
  <c r="E31" i="11"/>
  <c r="D30" i="11"/>
  <c r="F30" i="11"/>
  <c r="C31" i="11"/>
  <c r="T33" i="11"/>
  <c r="U32" i="11"/>
  <c r="M30" i="11"/>
  <c r="C30" i="15" s="1"/>
  <c r="N32" i="11" l="1"/>
  <c r="O30" i="11" s="1"/>
  <c r="L30" i="11" s="1"/>
  <c r="B30" i="15" s="1"/>
  <c r="E32" i="11"/>
  <c r="D31" i="11"/>
  <c r="F31" i="11"/>
  <c r="C32" i="11"/>
  <c r="T34" i="11"/>
  <c r="U33" i="11"/>
  <c r="M31" i="11"/>
  <c r="C31" i="15" s="1"/>
  <c r="N33" i="11" l="1"/>
  <c r="O31" i="11" s="1"/>
  <c r="L31" i="11" s="1"/>
  <c r="B31" i="15" s="1"/>
  <c r="E33" i="11"/>
  <c r="D32" i="11"/>
  <c r="F32" i="11"/>
  <c r="C33" i="11"/>
  <c r="T35" i="11"/>
  <c r="U34" i="11"/>
  <c r="M32" i="11"/>
  <c r="C32" i="15" s="1"/>
  <c r="N34" i="11" l="1"/>
  <c r="O32" i="11" s="1"/>
  <c r="L32" i="11" s="1"/>
  <c r="B32" i="15" s="1"/>
  <c r="E34" i="11"/>
  <c r="D33" i="11"/>
  <c r="F33" i="11"/>
  <c r="C34" i="11"/>
  <c r="U35" i="11"/>
  <c r="T36" i="11"/>
  <c r="M33" i="11"/>
  <c r="C33" i="15" s="1"/>
  <c r="N35" i="11" l="1"/>
  <c r="O33" i="11" s="1"/>
  <c r="L33" i="11" s="1"/>
  <c r="B33" i="15" s="1"/>
  <c r="E35" i="11"/>
  <c r="D34" i="11"/>
  <c r="F34" i="11"/>
  <c r="T37" i="11"/>
  <c r="U36" i="11"/>
  <c r="C35" i="11"/>
  <c r="M34" i="11"/>
  <c r="C34" i="15" s="1"/>
  <c r="N36" i="11" l="1"/>
  <c r="O34" i="11" s="1"/>
  <c r="L34" i="11" s="1"/>
  <c r="B34" i="15" s="1"/>
  <c r="E36" i="11"/>
  <c r="D35" i="11"/>
  <c r="F35" i="11"/>
  <c r="M35" i="11"/>
  <c r="C35" i="15" s="1"/>
  <c r="C36" i="11"/>
  <c r="T38" i="11"/>
  <c r="U37" i="11"/>
  <c r="N37" i="11" l="1"/>
  <c r="O35" i="11" s="1"/>
  <c r="L35" i="11" s="1"/>
  <c r="B35" i="15" s="1"/>
  <c r="E37" i="11"/>
  <c r="D36" i="11"/>
  <c r="F36" i="11"/>
  <c r="M36" i="11"/>
  <c r="C36" i="15" s="1"/>
  <c r="T39" i="11"/>
  <c r="U38" i="11"/>
  <c r="C37" i="11"/>
  <c r="N38" i="11" l="1"/>
  <c r="O36" i="11" s="1"/>
  <c r="L36" i="11" s="1"/>
  <c r="B36" i="15" s="1"/>
  <c r="E38" i="11"/>
  <c r="D37" i="11"/>
  <c r="F37" i="11"/>
  <c r="C38" i="11"/>
  <c r="T40" i="11"/>
  <c r="U39" i="11"/>
  <c r="M37" i="11"/>
  <c r="C37" i="15" s="1"/>
  <c r="N39" i="11" l="1"/>
  <c r="O37" i="11" s="1"/>
  <c r="L37" i="11" s="1"/>
  <c r="B37" i="15" s="1"/>
  <c r="E39" i="11"/>
  <c r="D38" i="11"/>
  <c r="F38" i="11"/>
  <c r="C39" i="11"/>
  <c r="T41" i="11"/>
  <c r="U40" i="11"/>
  <c r="M38" i="11"/>
  <c r="C38" i="15" s="1"/>
  <c r="N40" i="11" l="1"/>
  <c r="O38" i="11" s="1"/>
  <c r="L38" i="11" s="1"/>
  <c r="B38" i="15" s="1"/>
  <c r="E40" i="11"/>
  <c r="D39" i="11"/>
  <c r="F39" i="11"/>
  <c r="C40" i="11"/>
  <c r="T42" i="11"/>
  <c r="U41" i="11"/>
  <c r="M39" i="11"/>
  <c r="C39" i="15" s="1"/>
  <c r="N41" i="11" l="1"/>
  <c r="O39" i="11" s="1"/>
  <c r="L39" i="11" s="1"/>
  <c r="B39" i="15" s="1"/>
  <c r="E41" i="11"/>
  <c r="D40" i="11"/>
  <c r="F40" i="11"/>
  <c r="C41" i="11"/>
  <c r="U42" i="11"/>
  <c r="T43" i="11"/>
  <c r="M40" i="11"/>
  <c r="C40" i="15" s="1"/>
  <c r="N42" i="11" l="1"/>
  <c r="O40" i="11" s="1"/>
  <c r="L40" i="11" s="1"/>
  <c r="B40" i="15" s="1"/>
  <c r="E42" i="11"/>
  <c r="D41" i="11"/>
  <c r="F41" i="11"/>
  <c r="U43" i="11"/>
  <c r="T44" i="11"/>
  <c r="C42" i="11"/>
  <c r="M41" i="11"/>
  <c r="C41" i="15" s="1"/>
  <c r="N43" i="11" l="1"/>
  <c r="O41" i="11" s="1"/>
  <c r="L41" i="11" s="1"/>
  <c r="B41" i="15" s="1"/>
  <c r="E43" i="11"/>
  <c r="D42" i="11"/>
  <c r="F42" i="11"/>
  <c r="M42" i="11"/>
  <c r="C42" i="15" s="1"/>
  <c r="T45" i="11"/>
  <c r="U44" i="11"/>
  <c r="C43" i="11"/>
  <c r="N44" i="11" l="1"/>
  <c r="O42" i="11" s="1"/>
  <c r="L42" i="11" s="1"/>
  <c r="B42" i="15" s="1"/>
  <c r="E44" i="11"/>
  <c r="D43" i="11"/>
  <c r="F43" i="11"/>
  <c r="C44" i="11"/>
  <c r="T46" i="11"/>
  <c r="U45" i="11"/>
  <c r="M43" i="11"/>
  <c r="C43" i="15" s="1"/>
  <c r="N45" i="11" l="1"/>
  <c r="O43" i="11" s="1"/>
  <c r="L43" i="11" s="1"/>
  <c r="B43" i="15" s="1"/>
  <c r="E45" i="11"/>
  <c r="D44" i="11"/>
  <c r="F44" i="11"/>
  <c r="T47" i="11"/>
  <c r="U46" i="11"/>
  <c r="C45" i="11"/>
  <c r="M44" i="11"/>
  <c r="C44" i="15" s="1"/>
  <c r="N46" i="11" l="1"/>
  <c r="O44" i="11" s="1"/>
  <c r="L44" i="11" s="1"/>
  <c r="B44" i="15" s="1"/>
  <c r="E46" i="11"/>
  <c r="D45" i="11"/>
  <c r="F45" i="11"/>
  <c r="M45" i="11"/>
  <c r="C45" i="15" s="1"/>
  <c r="C46" i="11"/>
  <c r="U47" i="11"/>
  <c r="T48" i="11"/>
  <c r="N47" i="11" l="1"/>
  <c r="O45" i="11" s="1"/>
  <c r="L45" i="11" s="1"/>
  <c r="B45" i="15" s="1"/>
  <c r="E47" i="11"/>
  <c r="D46" i="11"/>
  <c r="F46" i="11"/>
  <c r="M46" i="11"/>
  <c r="C46" i="15" s="1"/>
  <c r="U48" i="11"/>
  <c r="T49" i="11"/>
  <c r="C47" i="11"/>
  <c r="N48" i="11" l="1"/>
  <c r="O46" i="11" s="1"/>
  <c r="L46" i="11" s="1"/>
  <c r="B46" i="15" s="1"/>
  <c r="E48" i="11"/>
  <c r="D47" i="11"/>
  <c r="F47" i="11"/>
  <c r="U49" i="11"/>
  <c r="T50" i="11"/>
  <c r="C48" i="11"/>
  <c r="M47" i="11"/>
  <c r="C47" i="15" s="1"/>
  <c r="N49" i="11" l="1"/>
  <c r="O47" i="11" s="1"/>
  <c r="L47" i="11" s="1"/>
  <c r="B47" i="15" s="1"/>
  <c r="E49" i="11"/>
  <c r="D48" i="11"/>
  <c r="F48" i="11"/>
  <c r="M48" i="11"/>
  <c r="C48" i="15" s="1"/>
  <c r="U50" i="11"/>
  <c r="T51" i="11"/>
  <c r="C49" i="11"/>
  <c r="N50" i="11" l="1"/>
  <c r="O48" i="11" s="1"/>
  <c r="L48" i="11" s="1"/>
  <c r="B48" i="15" s="1"/>
  <c r="E50" i="11"/>
  <c r="D49" i="11"/>
  <c r="F49" i="11"/>
  <c r="U51" i="11"/>
  <c r="T52" i="11"/>
  <c r="C50" i="11"/>
  <c r="M49" i="11"/>
  <c r="C49" i="15" s="1"/>
  <c r="N51" i="11" l="1"/>
  <c r="O49" i="11" s="1"/>
  <c r="L49" i="11" s="1"/>
  <c r="B49" i="15" s="1"/>
  <c r="E51" i="11"/>
  <c r="D50" i="11"/>
  <c r="F50" i="11"/>
  <c r="M50" i="11"/>
  <c r="C50" i="15" s="1"/>
  <c r="U52" i="11"/>
  <c r="T53" i="11"/>
  <c r="C51" i="11"/>
  <c r="N52" i="11" l="1"/>
  <c r="O50" i="11" s="1"/>
  <c r="L50" i="11" s="1"/>
  <c r="B50" i="15" s="1"/>
  <c r="E52" i="11"/>
  <c r="D51" i="11"/>
  <c r="F51" i="11"/>
  <c r="M51" i="11"/>
  <c r="C51" i="15" s="1"/>
  <c r="U53" i="11"/>
  <c r="T54" i="11"/>
  <c r="C52" i="11"/>
  <c r="N53" i="11" l="1"/>
  <c r="O51" i="11" s="1"/>
  <c r="L51" i="11" s="1"/>
  <c r="B51" i="15" s="1"/>
  <c r="E53" i="11"/>
  <c r="D52" i="11"/>
  <c r="F52" i="11"/>
  <c r="M52" i="11"/>
  <c r="C52" i="15" s="1"/>
  <c r="U54" i="11"/>
  <c r="T55" i="11"/>
  <c r="C53" i="11"/>
  <c r="N54" i="11" l="1"/>
  <c r="O52" i="11" s="1"/>
  <c r="L52" i="11" s="1"/>
  <c r="B52" i="15" s="1"/>
  <c r="E54" i="11"/>
  <c r="D53" i="11"/>
  <c r="F53" i="11"/>
  <c r="M53" i="11"/>
  <c r="C53" i="15" s="1"/>
  <c r="U55" i="11"/>
  <c r="T56" i="11"/>
  <c r="C54" i="11"/>
  <c r="N55" i="11" l="1"/>
  <c r="O53" i="11" s="1"/>
  <c r="L53" i="11" s="1"/>
  <c r="B53" i="15" s="1"/>
  <c r="E55" i="11"/>
  <c r="D54" i="11"/>
  <c r="F54" i="11"/>
  <c r="U56" i="11"/>
  <c r="T57" i="11"/>
  <c r="C55" i="11"/>
  <c r="M54" i="11"/>
  <c r="C54" i="15" s="1"/>
  <c r="N56" i="11" l="1"/>
  <c r="O54" i="11" s="1"/>
  <c r="L54" i="11" s="1"/>
  <c r="B54" i="15" s="1"/>
  <c r="E56" i="11"/>
  <c r="D55" i="11"/>
  <c r="F55" i="11"/>
  <c r="M55" i="11"/>
  <c r="C55" i="15" s="1"/>
  <c r="U57" i="11"/>
  <c r="T58" i="11"/>
  <c r="C56" i="11"/>
  <c r="N57" i="11" l="1"/>
  <c r="O55" i="11" s="1"/>
  <c r="L55" i="11" s="1"/>
  <c r="B55" i="15" s="1"/>
  <c r="E57" i="11"/>
  <c r="D56" i="11"/>
  <c r="F56" i="11"/>
  <c r="U58" i="11"/>
  <c r="T59" i="11"/>
  <c r="C57" i="11"/>
  <c r="M56" i="11"/>
  <c r="C56" i="15" s="1"/>
  <c r="N58" i="11" l="1"/>
  <c r="O56" i="11" s="1"/>
  <c r="L56" i="11" s="1"/>
  <c r="B56" i="15" s="1"/>
  <c r="E58" i="11"/>
  <c r="D57" i="11"/>
  <c r="F57" i="11"/>
  <c r="M57" i="11"/>
  <c r="C57" i="15" s="1"/>
  <c r="U59" i="11"/>
  <c r="T60" i="11"/>
  <c r="C58" i="11"/>
  <c r="N59" i="11" l="1"/>
  <c r="O57" i="11" s="1"/>
  <c r="L57" i="11" s="1"/>
  <c r="B57" i="15" s="1"/>
  <c r="E59" i="11"/>
  <c r="D58" i="11"/>
  <c r="F58" i="11"/>
  <c r="U60" i="11"/>
  <c r="T61" i="11"/>
  <c r="C59" i="11"/>
  <c r="M58" i="11"/>
  <c r="C58" i="15" s="1"/>
  <c r="N60" i="11" l="1"/>
  <c r="O58" i="11" s="1"/>
  <c r="L58" i="11" s="1"/>
  <c r="B58" i="15" s="1"/>
  <c r="E60" i="11"/>
  <c r="D59" i="11"/>
  <c r="F59" i="11"/>
  <c r="M59" i="11"/>
  <c r="C59" i="15" s="1"/>
  <c r="T62" i="11"/>
  <c r="U61" i="11"/>
  <c r="C60" i="11"/>
  <c r="N61" i="11" l="1"/>
  <c r="O59" i="11" s="1"/>
  <c r="L59" i="11" s="1"/>
  <c r="B59" i="15" s="1"/>
  <c r="E61" i="11"/>
  <c r="D60" i="11"/>
  <c r="F60" i="11"/>
  <c r="T63" i="11"/>
  <c r="U62" i="11"/>
  <c r="M60" i="11"/>
  <c r="C60" i="15" s="1"/>
  <c r="C61" i="11"/>
  <c r="N62" i="11" l="1"/>
  <c r="O60" i="11" s="1"/>
  <c r="L60" i="11" s="1"/>
  <c r="B60" i="15" s="1"/>
  <c r="E62" i="11"/>
  <c r="D61" i="11"/>
  <c r="F61" i="11"/>
  <c r="M61" i="11"/>
  <c r="C61" i="15" s="1"/>
  <c r="C62" i="11"/>
  <c r="T64" i="11"/>
  <c r="U63" i="11"/>
  <c r="N63" i="11" l="1"/>
  <c r="O61" i="11" s="1"/>
  <c r="L61" i="11" s="1"/>
  <c r="B61" i="15" s="1"/>
  <c r="E63" i="11"/>
  <c r="D62" i="11"/>
  <c r="F62" i="11"/>
  <c r="T65" i="11"/>
  <c r="U64" i="11"/>
  <c r="M62" i="11"/>
  <c r="C62" i="15" s="1"/>
  <c r="C63" i="11"/>
  <c r="N64" i="11" l="1"/>
  <c r="O62" i="11" s="1"/>
  <c r="L62" i="11" s="1"/>
  <c r="B62" i="15" s="1"/>
  <c r="E64" i="11"/>
  <c r="D63" i="11"/>
  <c r="F63" i="11"/>
  <c r="M63" i="11"/>
  <c r="C63" i="15" s="1"/>
  <c r="C64" i="11"/>
  <c r="T66" i="11"/>
  <c r="U65" i="11"/>
  <c r="N65" i="11" l="1"/>
  <c r="O63" i="11" s="1"/>
  <c r="L63" i="11" s="1"/>
  <c r="B63" i="15" s="1"/>
  <c r="E65" i="11"/>
  <c r="D64" i="11"/>
  <c r="F64" i="11"/>
  <c r="T67" i="11"/>
  <c r="U66" i="11"/>
  <c r="M64" i="11"/>
  <c r="C64" i="15" s="1"/>
  <c r="C65" i="11"/>
  <c r="N66" i="11" l="1"/>
  <c r="O64" i="11" s="1"/>
  <c r="L64" i="11" s="1"/>
  <c r="B64" i="15" s="1"/>
  <c r="E66" i="11"/>
  <c r="D65" i="11"/>
  <c r="F65" i="11"/>
  <c r="M65" i="11"/>
  <c r="C65" i="15" s="1"/>
  <c r="C66" i="11"/>
  <c r="U67" i="11"/>
  <c r="T68" i="11"/>
  <c r="N67" i="11" l="1"/>
  <c r="O65" i="11" s="1"/>
  <c r="L65" i="11" s="1"/>
  <c r="B65" i="15" s="1"/>
  <c r="E67" i="11"/>
  <c r="D66" i="11"/>
  <c r="F66" i="11"/>
  <c r="M66" i="11"/>
  <c r="C66" i="15" s="1"/>
  <c r="C67" i="11"/>
  <c r="U68" i="11"/>
  <c r="T69" i="11"/>
  <c r="N68" i="11" l="1"/>
  <c r="O66" i="11" s="1"/>
  <c r="L66" i="11" s="1"/>
  <c r="B66" i="15" s="1"/>
  <c r="E68" i="11"/>
  <c r="D67" i="11"/>
  <c r="F67" i="11"/>
  <c r="C68" i="11"/>
  <c r="U69" i="11"/>
  <c r="T70" i="11"/>
  <c r="M67" i="11"/>
  <c r="C67" i="15" s="1"/>
  <c r="N69" i="11" l="1"/>
  <c r="O67" i="11" s="1"/>
  <c r="L67" i="11" s="1"/>
  <c r="B67" i="15" s="1"/>
  <c r="E69" i="11"/>
  <c r="D68" i="11"/>
  <c r="F68" i="11"/>
  <c r="T71" i="11"/>
  <c r="U70" i="11"/>
  <c r="C69" i="11"/>
  <c r="M68" i="11"/>
  <c r="C68" i="15" s="1"/>
  <c r="N70" i="11" l="1"/>
  <c r="O68" i="11" s="1"/>
  <c r="L68" i="11" s="1"/>
  <c r="B68" i="15" s="1"/>
  <c r="E70" i="11"/>
  <c r="D69" i="11"/>
  <c r="F69" i="11"/>
  <c r="C70" i="11"/>
  <c r="M69" i="11"/>
  <c r="C69" i="15" s="1"/>
  <c r="U71" i="11"/>
  <c r="T72" i="11"/>
  <c r="N71" i="11" l="1"/>
  <c r="O69" i="11" s="1"/>
  <c r="L69" i="11" s="1"/>
  <c r="B69" i="15" s="1"/>
  <c r="E71" i="11"/>
  <c r="D70" i="11"/>
  <c r="F70" i="11"/>
  <c r="T73" i="11"/>
  <c r="U72" i="11"/>
  <c r="C71" i="11"/>
  <c r="M70" i="11"/>
  <c r="C70" i="15" s="1"/>
  <c r="N72" i="11" l="1"/>
  <c r="O70" i="11" s="1"/>
  <c r="L70" i="11" s="1"/>
  <c r="B70" i="15" s="1"/>
  <c r="E72" i="11"/>
  <c r="D71" i="11"/>
  <c r="F71" i="11"/>
  <c r="M71" i="11"/>
  <c r="C71" i="15" s="1"/>
  <c r="C72" i="11"/>
  <c r="T74" i="11"/>
  <c r="U73" i="11"/>
  <c r="N73" i="11" l="1"/>
  <c r="O71" i="11" s="1"/>
  <c r="L71" i="11" s="1"/>
  <c r="B71" i="15" s="1"/>
  <c r="E73" i="11"/>
  <c r="D72" i="11"/>
  <c r="F72" i="11"/>
  <c r="M72" i="11"/>
  <c r="C72" i="15" s="1"/>
  <c r="C73" i="11"/>
  <c r="U74" i="11"/>
  <c r="T75" i="11"/>
  <c r="N74" i="11" l="1"/>
  <c r="O72" i="11" s="1"/>
  <c r="L72" i="11" s="1"/>
  <c r="B72" i="15" s="1"/>
  <c r="E74" i="11"/>
  <c r="D73" i="11"/>
  <c r="F73" i="11"/>
  <c r="M73" i="11"/>
  <c r="C73" i="15" s="1"/>
  <c r="U75" i="11"/>
  <c r="T76" i="11"/>
  <c r="C74" i="11"/>
  <c r="N75" i="11" l="1"/>
  <c r="O73" i="11" s="1"/>
  <c r="L73" i="11" s="1"/>
  <c r="B73" i="15" s="1"/>
  <c r="E75" i="11"/>
  <c r="D74" i="11"/>
  <c r="F74" i="11"/>
  <c r="U76" i="11"/>
  <c r="T77" i="11"/>
  <c r="C75" i="11"/>
  <c r="M74" i="11"/>
  <c r="C74" i="15" s="1"/>
  <c r="N76" i="11" l="1"/>
  <c r="O74" i="11" s="1"/>
  <c r="L74" i="11" s="1"/>
  <c r="B74" i="15" s="1"/>
  <c r="E76" i="11"/>
  <c r="D75" i="11"/>
  <c r="F75" i="11"/>
  <c r="M75" i="11"/>
  <c r="C75" i="15" s="1"/>
  <c r="U77" i="11"/>
  <c r="T78" i="11"/>
  <c r="C76" i="11"/>
  <c r="N77" i="11" l="1"/>
  <c r="O75" i="11" s="1"/>
  <c r="L75" i="11" s="1"/>
  <c r="B75" i="15" s="1"/>
  <c r="E77" i="11"/>
  <c r="D76" i="11"/>
  <c r="F76" i="11"/>
  <c r="C77" i="11"/>
  <c r="U78" i="11"/>
  <c r="T79" i="11"/>
  <c r="M76" i="11"/>
  <c r="C76" i="15" s="1"/>
  <c r="N78" i="11" l="1"/>
  <c r="O76" i="11" s="1"/>
  <c r="L76" i="11" s="1"/>
  <c r="B76" i="15" s="1"/>
  <c r="E78" i="11"/>
  <c r="D77" i="11"/>
  <c r="F77" i="11"/>
  <c r="U79" i="11"/>
  <c r="T80" i="11"/>
  <c r="C78" i="11"/>
  <c r="M77" i="11"/>
  <c r="C77" i="15" s="1"/>
  <c r="N79" i="11" l="1"/>
  <c r="O77" i="11" s="1"/>
  <c r="L77" i="11" s="1"/>
  <c r="B77" i="15" s="1"/>
  <c r="E79" i="11"/>
  <c r="D78" i="11"/>
  <c r="F78" i="11"/>
  <c r="M78" i="11"/>
  <c r="C78" i="15" s="1"/>
  <c r="T81" i="11"/>
  <c r="U80" i="11"/>
  <c r="C79" i="11"/>
  <c r="N80" i="11" l="1"/>
  <c r="O78" i="11" s="1"/>
  <c r="L78" i="11" s="1"/>
  <c r="B78" i="15" s="1"/>
  <c r="E80" i="11"/>
  <c r="D79" i="11"/>
  <c r="F79" i="11"/>
  <c r="C80" i="11"/>
  <c r="T82" i="11"/>
  <c r="U81" i="11"/>
  <c r="M79" i="11"/>
  <c r="C79" i="15" s="1"/>
  <c r="N81" i="11" l="1"/>
  <c r="O79" i="11" s="1"/>
  <c r="L79" i="11" s="1"/>
  <c r="B79" i="15" s="1"/>
  <c r="E81" i="11"/>
  <c r="D80" i="11"/>
  <c r="F80" i="11"/>
  <c r="C81" i="11"/>
  <c r="U82" i="11"/>
  <c r="T83" i="11"/>
  <c r="M80" i="11"/>
  <c r="C80" i="15" s="1"/>
  <c r="N82" i="11" l="1"/>
  <c r="O80" i="11" s="1"/>
  <c r="L80" i="11" s="1"/>
  <c r="B80" i="15" s="1"/>
  <c r="E82" i="11"/>
  <c r="D81" i="11"/>
  <c r="F81" i="11"/>
  <c r="C82" i="11"/>
  <c r="U83" i="11"/>
  <c r="T84" i="11"/>
  <c r="M81" i="11"/>
  <c r="C81" i="15" s="1"/>
  <c r="N83" i="11" l="1"/>
  <c r="O81" i="11" s="1"/>
  <c r="L81" i="11" s="1"/>
  <c r="B81" i="15" s="1"/>
  <c r="E83" i="11"/>
  <c r="D82" i="11"/>
  <c r="F82" i="11"/>
  <c r="U84" i="11"/>
  <c r="T85" i="11"/>
  <c r="C83" i="11"/>
  <c r="M82" i="11"/>
  <c r="C82" i="15" s="1"/>
  <c r="N84" i="11" l="1"/>
  <c r="O82" i="11" s="1"/>
  <c r="L82" i="11" s="1"/>
  <c r="B82" i="15" s="1"/>
  <c r="E84" i="11"/>
  <c r="D83" i="11"/>
  <c r="F83" i="11"/>
  <c r="M83" i="11"/>
  <c r="C83" i="15" s="1"/>
  <c r="U85" i="11"/>
  <c r="T86" i="11"/>
  <c r="C84" i="11"/>
  <c r="N85" i="11" l="1"/>
  <c r="O83" i="11" s="1"/>
  <c r="L83" i="11" s="1"/>
  <c r="B83" i="15" s="1"/>
  <c r="E85" i="11"/>
  <c r="D84" i="11"/>
  <c r="F84" i="11"/>
  <c r="U86" i="11"/>
  <c r="T87" i="11"/>
  <c r="C85" i="11"/>
  <c r="M84" i="11"/>
  <c r="C84" i="15" s="1"/>
  <c r="N86" i="11" l="1"/>
  <c r="O84" i="11" s="1"/>
  <c r="L84" i="11" s="1"/>
  <c r="B84" i="15" s="1"/>
  <c r="E86" i="11"/>
  <c r="D85" i="11"/>
  <c r="F85" i="11"/>
  <c r="M85" i="11"/>
  <c r="C85" i="15" s="1"/>
  <c r="U87" i="11"/>
  <c r="T88" i="11"/>
  <c r="C86" i="11"/>
  <c r="N87" i="11" l="1"/>
  <c r="O85" i="11" s="1"/>
  <c r="L85" i="11" s="1"/>
  <c r="B85" i="15" s="1"/>
  <c r="E87" i="11"/>
  <c r="D86" i="11"/>
  <c r="F86" i="11"/>
  <c r="U88" i="11"/>
  <c r="T89" i="11"/>
  <c r="C87" i="11"/>
  <c r="M86" i="11"/>
  <c r="C86" i="15" s="1"/>
  <c r="N88" i="11" l="1"/>
  <c r="O86" i="11" s="1"/>
  <c r="L86" i="11" s="1"/>
  <c r="B86" i="15" s="1"/>
  <c r="E88" i="11"/>
  <c r="D87" i="11"/>
  <c r="F87" i="11"/>
  <c r="M87" i="11"/>
  <c r="C87" i="15" s="1"/>
  <c r="U89" i="11"/>
  <c r="T90" i="11"/>
  <c r="C88" i="11"/>
  <c r="N89" i="11" l="1"/>
  <c r="O87" i="11" s="1"/>
  <c r="L87" i="11" s="1"/>
  <c r="B87" i="15" s="1"/>
  <c r="E89" i="11"/>
  <c r="D88" i="11"/>
  <c r="F88" i="11"/>
  <c r="U90" i="11"/>
  <c r="T91" i="11"/>
  <c r="C89" i="11"/>
  <c r="M88" i="11"/>
  <c r="C88" i="15" s="1"/>
  <c r="N90" i="11" l="1"/>
  <c r="O88" i="11" s="1"/>
  <c r="L88" i="11" s="1"/>
  <c r="B88" i="15" s="1"/>
  <c r="E90" i="11"/>
  <c r="D89" i="11"/>
  <c r="F89" i="11"/>
  <c r="M89" i="11"/>
  <c r="C89" i="15" s="1"/>
  <c r="U91" i="11"/>
  <c r="T92" i="11"/>
  <c r="C90" i="11"/>
  <c r="N91" i="11" l="1"/>
  <c r="O89" i="11" s="1"/>
  <c r="L89" i="11" s="1"/>
  <c r="B89" i="15" s="1"/>
  <c r="E91" i="11"/>
  <c r="D90" i="11"/>
  <c r="F90" i="11"/>
  <c r="U92" i="11"/>
  <c r="T93" i="11"/>
  <c r="C91" i="11"/>
  <c r="M90" i="11"/>
  <c r="C90" i="15" s="1"/>
  <c r="N92" i="11" l="1"/>
  <c r="O90" i="11" s="1"/>
  <c r="L90" i="11" s="1"/>
  <c r="B90" i="15" s="1"/>
  <c r="E92" i="11"/>
  <c r="D91" i="11"/>
  <c r="F91" i="11"/>
  <c r="M91" i="11"/>
  <c r="C91" i="15" s="1"/>
  <c r="U93" i="11"/>
  <c r="T94" i="11"/>
  <c r="C92" i="11"/>
  <c r="N93" i="11" l="1"/>
  <c r="O91" i="11" s="1"/>
  <c r="L91" i="11" s="1"/>
  <c r="B91" i="15" s="1"/>
  <c r="E93" i="11"/>
  <c r="D92" i="11"/>
  <c r="F92" i="11"/>
  <c r="U94" i="11"/>
  <c r="T95" i="11"/>
  <c r="C93" i="11"/>
  <c r="M92" i="11"/>
  <c r="C92" i="15" s="1"/>
  <c r="N94" i="11" l="1"/>
  <c r="O92" i="11" s="1"/>
  <c r="L92" i="11" s="1"/>
  <c r="B92" i="15" s="1"/>
  <c r="E94" i="11"/>
  <c r="D93" i="11"/>
  <c r="F93" i="11"/>
  <c r="M93" i="11"/>
  <c r="C93" i="15" s="1"/>
  <c r="U95" i="11"/>
  <c r="T96" i="11"/>
  <c r="C94" i="11"/>
  <c r="N95" i="11" l="1"/>
  <c r="O93" i="11" s="1"/>
  <c r="L93" i="11" s="1"/>
  <c r="B93" i="15" s="1"/>
  <c r="E95" i="11"/>
  <c r="D94" i="11"/>
  <c r="F94" i="11"/>
  <c r="M94" i="11"/>
  <c r="C94" i="15" s="1"/>
  <c r="C95" i="11"/>
  <c r="T97" i="11"/>
  <c r="U96" i="11"/>
  <c r="N96" i="11" l="1"/>
  <c r="O94" i="11" s="1"/>
  <c r="L94" i="11" s="1"/>
  <c r="B94" i="15" s="1"/>
  <c r="E96" i="11"/>
  <c r="D95" i="11"/>
  <c r="F95" i="11"/>
  <c r="M95" i="11"/>
  <c r="C95" i="15" s="1"/>
  <c r="C96" i="11"/>
  <c r="T98" i="11"/>
  <c r="U97" i="11"/>
  <c r="N97" i="11" l="1"/>
  <c r="O95" i="11" s="1"/>
  <c r="L95" i="11" s="1"/>
  <c r="B95" i="15" s="1"/>
  <c r="E97" i="11"/>
  <c r="D96" i="11"/>
  <c r="F96" i="11"/>
  <c r="C97" i="11"/>
  <c r="M96" i="11"/>
  <c r="C96" i="15" s="1"/>
  <c r="U98" i="11"/>
  <c r="T99" i="11"/>
  <c r="N98" i="11" l="1"/>
  <c r="O96" i="11" s="1"/>
  <c r="L96" i="11" s="1"/>
  <c r="B96" i="15" s="1"/>
  <c r="E98" i="11"/>
  <c r="D97" i="11"/>
  <c r="F97" i="11"/>
  <c r="U99" i="11"/>
  <c r="T100" i="11"/>
  <c r="C98" i="11"/>
  <c r="M97" i="11"/>
  <c r="C97" i="15" s="1"/>
  <c r="N99" i="11" l="1"/>
  <c r="O97" i="11" s="1"/>
  <c r="L97" i="11" s="1"/>
  <c r="B97" i="15" s="1"/>
  <c r="E99" i="11"/>
  <c r="D98" i="11"/>
  <c r="F98" i="11"/>
  <c r="M98" i="11"/>
  <c r="C98" i="15" s="1"/>
  <c r="U100" i="11"/>
  <c r="T101" i="11"/>
  <c r="C99" i="11"/>
  <c r="N100" i="11" l="1"/>
  <c r="O98" i="11" s="1"/>
  <c r="L98" i="11" s="1"/>
  <c r="B98" i="15" s="1"/>
  <c r="E100" i="11"/>
  <c r="D99" i="11"/>
  <c r="F99" i="11"/>
  <c r="M99" i="11"/>
  <c r="C99" i="15" s="1"/>
  <c r="U101" i="11"/>
  <c r="T102" i="11"/>
  <c r="C100" i="11"/>
  <c r="N101" i="11" l="1"/>
  <c r="O99" i="11" s="1"/>
  <c r="L99" i="11" s="1"/>
  <c r="B99" i="15" s="1"/>
  <c r="E101" i="11"/>
  <c r="D100" i="11"/>
  <c r="F100" i="11"/>
  <c r="U102" i="11"/>
  <c r="T103" i="11"/>
  <c r="C101" i="11"/>
  <c r="M100" i="11"/>
  <c r="C100" i="15" s="1"/>
  <c r="N102" i="11" l="1"/>
  <c r="O100" i="11" s="1"/>
  <c r="L100" i="11" s="1"/>
  <c r="B100" i="15" s="1"/>
  <c r="E102" i="11"/>
  <c r="D101" i="11"/>
  <c r="F101" i="11"/>
  <c r="M101" i="11"/>
  <c r="C101" i="15" s="1"/>
  <c r="U103" i="11"/>
  <c r="T104" i="11"/>
  <c r="C102" i="11"/>
  <c r="N103" i="11" l="1"/>
  <c r="O101" i="11" s="1"/>
  <c r="L101" i="11" s="1"/>
  <c r="B101" i="15" s="1"/>
  <c r="E103" i="11"/>
  <c r="D102" i="11"/>
  <c r="F102" i="11"/>
  <c r="M102" i="11"/>
  <c r="C102" i="15" s="1"/>
  <c r="C103" i="11"/>
  <c r="U104" i="11"/>
  <c r="T105" i="11"/>
  <c r="N104" i="11" l="1"/>
  <c r="O102" i="11" s="1"/>
  <c r="L102" i="11" s="1"/>
  <c r="B102" i="15" s="1"/>
  <c r="E104" i="11"/>
  <c r="D103" i="11"/>
  <c r="F103" i="11"/>
  <c r="M103" i="11"/>
  <c r="C103" i="15" s="1"/>
  <c r="U105" i="11"/>
  <c r="T106" i="11"/>
  <c r="C104" i="11"/>
  <c r="N105" i="11" l="1"/>
  <c r="O103" i="11" s="1"/>
  <c r="L103" i="11" s="1"/>
  <c r="B103" i="15" s="1"/>
  <c r="E105" i="11"/>
  <c r="D104" i="11"/>
  <c r="F104" i="11"/>
  <c r="U106" i="11"/>
  <c r="T107" i="11"/>
  <c r="C105" i="11"/>
  <c r="M104" i="11"/>
  <c r="C104" i="15" s="1"/>
  <c r="N106" i="11" l="1"/>
  <c r="O104" i="11" s="1"/>
  <c r="L104" i="11" s="1"/>
  <c r="B104" i="15" s="1"/>
  <c r="E106" i="11"/>
  <c r="D105" i="11"/>
  <c r="F105" i="11"/>
  <c r="M105" i="11"/>
  <c r="C105" i="15" s="1"/>
  <c r="U107" i="11"/>
  <c r="T108" i="11"/>
  <c r="C106" i="11"/>
  <c r="N107" i="11" l="1"/>
  <c r="O105" i="11" s="1"/>
  <c r="L105" i="11" s="1"/>
  <c r="B105" i="15" s="1"/>
  <c r="E107" i="11"/>
  <c r="D106" i="11"/>
  <c r="F106" i="11"/>
  <c r="U108" i="11"/>
  <c r="T109" i="11"/>
  <c r="C107" i="11"/>
  <c r="M106" i="11"/>
  <c r="C106" i="15" s="1"/>
  <c r="N108" i="11" l="1"/>
  <c r="O106" i="11" s="1"/>
  <c r="L106" i="11" s="1"/>
  <c r="B106" i="15" s="1"/>
  <c r="E108" i="11"/>
  <c r="D107" i="11"/>
  <c r="F107" i="11"/>
  <c r="M107" i="11"/>
  <c r="C107" i="15" s="1"/>
  <c r="U109" i="11"/>
  <c r="T110" i="11"/>
  <c r="C108" i="11"/>
  <c r="N109" i="11" l="1"/>
  <c r="O107" i="11" s="1"/>
  <c r="L107" i="11" s="1"/>
  <c r="B107" i="15" s="1"/>
  <c r="E109" i="11"/>
  <c r="D108" i="11"/>
  <c r="F108" i="11"/>
  <c r="M108" i="11"/>
  <c r="C108" i="15" s="1"/>
  <c r="U110" i="11"/>
  <c r="T111" i="11"/>
  <c r="C109" i="11"/>
  <c r="N110" i="11" l="1"/>
  <c r="O108" i="11" s="1"/>
  <c r="L108" i="11" s="1"/>
  <c r="B108" i="15" s="1"/>
  <c r="E110" i="11"/>
  <c r="D109" i="11"/>
  <c r="F109" i="11"/>
  <c r="M109" i="11"/>
  <c r="C109" i="15" s="1"/>
  <c r="U111" i="11"/>
  <c r="T112" i="11"/>
  <c r="C110" i="11"/>
  <c r="N111" i="11" l="1"/>
  <c r="O109" i="11" s="1"/>
  <c r="L109" i="11" s="1"/>
  <c r="B109" i="15" s="1"/>
  <c r="E111" i="11"/>
  <c r="D110" i="11"/>
  <c r="F110" i="11"/>
  <c r="U112" i="11"/>
  <c r="T113" i="11"/>
  <c r="C111" i="11"/>
  <c r="M110" i="11"/>
  <c r="C110" i="15" s="1"/>
  <c r="N112" i="11" l="1"/>
  <c r="O110" i="11" s="1"/>
  <c r="L110" i="11" s="1"/>
  <c r="B110" i="15" s="1"/>
  <c r="E112" i="11"/>
  <c r="D111" i="11"/>
  <c r="F111" i="11"/>
  <c r="M111" i="11"/>
  <c r="C111" i="15" s="1"/>
  <c r="U113" i="11"/>
  <c r="T114" i="11"/>
  <c r="C112" i="11"/>
  <c r="N113" i="11" l="1"/>
  <c r="O111" i="11" s="1"/>
  <c r="L111" i="11" s="1"/>
  <c r="B111" i="15" s="1"/>
  <c r="E113" i="11"/>
  <c r="D112" i="11"/>
  <c r="F112" i="11"/>
  <c r="U114" i="11"/>
  <c r="T115" i="11"/>
  <c r="C113" i="11"/>
  <c r="M112" i="11"/>
  <c r="C112" i="15" s="1"/>
  <c r="N114" i="11" l="1"/>
  <c r="O112" i="11" s="1"/>
  <c r="L112" i="11" s="1"/>
  <c r="B112" i="15" s="1"/>
  <c r="E114" i="11"/>
  <c r="D113" i="11"/>
  <c r="F113" i="11"/>
  <c r="M113" i="11"/>
  <c r="C113" i="15" s="1"/>
  <c r="U115" i="11"/>
  <c r="T116" i="11"/>
  <c r="C114" i="11"/>
  <c r="N115" i="11" l="1"/>
  <c r="O113" i="11" s="1"/>
  <c r="L113" i="11" s="1"/>
  <c r="B113" i="15" s="1"/>
  <c r="E115" i="11"/>
  <c r="D114" i="11"/>
  <c r="F114" i="11"/>
  <c r="M114" i="11"/>
  <c r="C114" i="15" s="1"/>
  <c r="U116" i="11"/>
  <c r="T117" i="11"/>
  <c r="C115" i="11"/>
  <c r="N116" i="11" l="1"/>
  <c r="O114" i="11" s="1"/>
  <c r="L114" i="11" s="1"/>
  <c r="B114" i="15" s="1"/>
  <c r="E116" i="11"/>
  <c r="D115" i="11"/>
  <c r="F115" i="11"/>
  <c r="U117" i="11"/>
  <c r="T118" i="11"/>
  <c r="C116" i="11"/>
  <c r="M115" i="11"/>
  <c r="C115" i="15" s="1"/>
  <c r="N117" i="11" l="1"/>
  <c r="O115" i="11" s="1"/>
  <c r="L115" i="11" s="1"/>
  <c r="B115" i="15" s="1"/>
  <c r="E117" i="11"/>
  <c r="D116" i="11"/>
  <c r="F116" i="11"/>
  <c r="M116" i="11"/>
  <c r="C116" i="15" s="1"/>
  <c r="U118" i="11"/>
  <c r="T119" i="11"/>
  <c r="C117" i="11"/>
  <c r="N118" i="11" l="1"/>
  <c r="O116" i="11" s="1"/>
  <c r="L116" i="11" s="1"/>
  <c r="B116" i="15" s="1"/>
  <c r="E118" i="11"/>
  <c r="D117" i="11"/>
  <c r="F117" i="11"/>
  <c r="U119" i="11"/>
  <c r="T120" i="11"/>
  <c r="C118" i="11"/>
  <c r="M117" i="11"/>
  <c r="C117" i="15" s="1"/>
  <c r="N119" i="11" l="1"/>
  <c r="O117" i="11" s="1"/>
  <c r="L117" i="11" s="1"/>
  <c r="B117" i="15" s="1"/>
  <c r="E119" i="11"/>
  <c r="D118" i="11"/>
  <c r="F118" i="11"/>
  <c r="M118" i="11"/>
  <c r="C118" i="15" s="1"/>
  <c r="U120" i="11"/>
  <c r="T121" i="11"/>
  <c r="C119" i="11"/>
  <c r="N120" i="11" l="1"/>
  <c r="O118" i="11" s="1"/>
  <c r="L118" i="11" s="1"/>
  <c r="B118" i="15" s="1"/>
  <c r="E120" i="11"/>
  <c r="D119" i="11"/>
  <c r="F119" i="11"/>
  <c r="U121" i="11"/>
  <c r="T122" i="11"/>
  <c r="C120" i="11"/>
  <c r="M119" i="11"/>
  <c r="C119" i="15" s="1"/>
  <c r="N121" i="11" l="1"/>
  <c r="O119" i="11" s="1"/>
  <c r="L119" i="11" s="1"/>
  <c r="B119" i="15" s="1"/>
  <c r="E121" i="11"/>
  <c r="D120" i="11"/>
  <c r="F120" i="11"/>
  <c r="M120" i="11"/>
  <c r="C120" i="15" s="1"/>
  <c r="U122" i="11"/>
  <c r="T123" i="11"/>
  <c r="C121" i="11"/>
  <c r="N122" i="11" l="1"/>
  <c r="O120" i="11" s="1"/>
  <c r="L120" i="11" s="1"/>
  <c r="B120" i="15" s="1"/>
  <c r="E122" i="11"/>
  <c r="D121" i="11"/>
  <c r="F121" i="11"/>
  <c r="U123" i="11"/>
  <c r="T124" i="11"/>
  <c r="C122" i="11"/>
  <c r="M121" i="11"/>
  <c r="C121" i="15" s="1"/>
  <c r="N123" i="11" l="1"/>
  <c r="O121" i="11" s="1"/>
  <c r="L121" i="11" s="1"/>
  <c r="B121" i="15" s="1"/>
  <c r="E123" i="11"/>
  <c r="D122" i="11"/>
  <c r="F122" i="11"/>
  <c r="M122" i="11"/>
  <c r="C122" i="15" s="1"/>
  <c r="U124" i="11"/>
  <c r="T125" i="11"/>
  <c r="C123" i="11"/>
  <c r="N124" i="11" l="1"/>
  <c r="O122" i="11" s="1"/>
  <c r="L122" i="11" s="1"/>
  <c r="B122" i="15" s="1"/>
  <c r="E124" i="11"/>
  <c r="D123" i="11"/>
  <c r="F123" i="11"/>
  <c r="M123" i="11"/>
  <c r="C123" i="15" s="1"/>
  <c r="C124" i="11"/>
  <c r="U125" i="11"/>
  <c r="T126" i="11"/>
  <c r="N125" i="11" l="1"/>
  <c r="O123" i="11" s="1"/>
  <c r="L123" i="11" s="1"/>
  <c r="B123" i="15" s="1"/>
  <c r="E125" i="11"/>
  <c r="D124" i="11"/>
  <c r="F124" i="11"/>
  <c r="M124" i="11"/>
  <c r="C124" i="15" s="1"/>
  <c r="U126" i="11"/>
  <c r="T127" i="11"/>
  <c r="C125" i="11"/>
  <c r="N126" i="11" l="1"/>
  <c r="O124" i="11" s="1"/>
  <c r="L124" i="11" s="1"/>
  <c r="B124" i="15" s="1"/>
  <c r="E126" i="11"/>
  <c r="D125" i="11"/>
  <c r="F125" i="11"/>
  <c r="M125" i="11"/>
  <c r="C125" i="15" s="1"/>
  <c r="U127" i="11"/>
  <c r="T128" i="11"/>
  <c r="C126" i="11"/>
  <c r="N127" i="11" l="1"/>
  <c r="O125" i="11" s="1"/>
  <c r="L125" i="11" s="1"/>
  <c r="B125" i="15" s="1"/>
  <c r="E127" i="11"/>
  <c r="D126" i="11"/>
  <c r="F126" i="11"/>
  <c r="M126" i="11"/>
  <c r="C126" i="15" s="1"/>
  <c r="U128" i="11"/>
  <c r="T129" i="11"/>
  <c r="C127" i="11"/>
  <c r="N128" i="11" l="1"/>
  <c r="O126" i="11" s="1"/>
  <c r="L126" i="11" s="1"/>
  <c r="B126" i="15" s="1"/>
  <c r="E128" i="11"/>
  <c r="D127" i="11"/>
  <c r="F127" i="11"/>
  <c r="U129" i="11"/>
  <c r="T130" i="11"/>
  <c r="C128" i="11"/>
  <c r="M127" i="11"/>
  <c r="C127" i="15" s="1"/>
  <c r="N129" i="11" l="1"/>
  <c r="O127" i="11" s="1"/>
  <c r="L127" i="11" s="1"/>
  <c r="B127" i="15" s="1"/>
  <c r="E129" i="11"/>
  <c r="D128" i="11"/>
  <c r="F128" i="11"/>
  <c r="M128" i="11"/>
  <c r="C128" i="15" s="1"/>
  <c r="U130" i="11"/>
  <c r="T131" i="11"/>
  <c r="C129" i="11"/>
  <c r="N130" i="11" l="1"/>
  <c r="O128" i="11" s="1"/>
  <c r="L128" i="11" s="1"/>
  <c r="B128" i="15" s="1"/>
  <c r="E130" i="11"/>
  <c r="D129" i="11"/>
  <c r="F129" i="11"/>
  <c r="U131" i="11"/>
  <c r="T132" i="11"/>
  <c r="C130" i="11"/>
  <c r="M129" i="11"/>
  <c r="C129" i="15" s="1"/>
  <c r="N131" i="11" l="1"/>
  <c r="O129" i="11" s="1"/>
  <c r="L129" i="11" s="1"/>
  <c r="B129" i="15" s="1"/>
  <c r="E131" i="11"/>
  <c r="D130" i="11"/>
  <c r="F130" i="11"/>
  <c r="M130" i="11"/>
  <c r="C130" i="15" s="1"/>
  <c r="U132" i="11"/>
  <c r="T133" i="11"/>
  <c r="C131" i="11"/>
  <c r="N132" i="11" l="1"/>
  <c r="O130" i="11" s="1"/>
  <c r="L130" i="11" s="1"/>
  <c r="B130" i="15" s="1"/>
  <c r="E132" i="11"/>
  <c r="D131" i="11"/>
  <c r="F131" i="11"/>
  <c r="U133" i="11"/>
  <c r="T134" i="11"/>
  <c r="C132" i="11"/>
  <c r="M131" i="11"/>
  <c r="C131" i="15" s="1"/>
  <c r="N133" i="11" l="1"/>
  <c r="O131" i="11" s="1"/>
  <c r="L131" i="11" s="1"/>
  <c r="B131" i="15" s="1"/>
  <c r="E133" i="11"/>
  <c r="D132" i="11"/>
  <c r="F132" i="11"/>
  <c r="U134" i="11"/>
  <c r="T135" i="11"/>
  <c r="M132" i="11"/>
  <c r="C132" i="15" s="1"/>
  <c r="C133" i="11"/>
  <c r="N134" i="11" l="1"/>
  <c r="O132" i="11" s="1"/>
  <c r="L132" i="11" s="1"/>
  <c r="B132" i="15" s="1"/>
  <c r="E134" i="11"/>
  <c r="D133" i="11"/>
  <c r="F133" i="11"/>
  <c r="M133" i="11"/>
  <c r="C133" i="15" s="1"/>
  <c r="U135" i="11"/>
  <c r="T136" i="11"/>
  <c r="C134" i="11"/>
  <c r="N135" i="11" l="1"/>
  <c r="O133" i="11" s="1"/>
  <c r="L133" i="11" s="1"/>
  <c r="B133" i="15" s="1"/>
  <c r="E135" i="11"/>
  <c r="D134" i="11"/>
  <c r="F134" i="11"/>
  <c r="M134" i="11"/>
  <c r="C134" i="15" s="1"/>
  <c r="U136" i="11"/>
  <c r="T137" i="11"/>
  <c r="C135" i="11"/>
  <c r="N136" i="11" l="1"/>
  <c r="O134" i="11" s="1"/>
  <c r="L134" i="11" s="1"/>
  <c r="B134" i="15" s="1"/>
  <c r="E136" i="11"/>
  <c r="D135" i="11"/>
  <c r="F135" i="11"/>
  <c r="U137" i="11"/>
  <c r="T138" i="11"/>
  <c r="C136" i="11"/>
  <c r="M135" i="11"/>
  <c r="C135" i="15" s="1"/>
  <c r="N137" i="11" l="1"/>
  <c r="O135" i="11" s="1"/>
  <c r="L135" i="11" s="1"/>
  <c r="B135" i="15" s="1"/>
  <c r="E137" i="11"/>
  <c r="D136" i="11"/>
  <c r="F136" i="11"/>
  <c r="M136" i="11"/>
  <c r="C136" i="15" s="1"/>
  <c r="U138" i="11"/>
  <c r="T139" i="11"/>
  <c r="C137" i="11"/>
  <c r="N138" i="11" l="1"/>
  <c r="O136" i="11" s="1"/>
  <c r="L136" i="11" s="1"/>
  <c r="B136" i="15" s="1"/>
  <c r="E138" i="11"/>
  <c r="D137" i="11"/>
  <c r="F137" i="11"/>
  <c r="U139" i="11"/>
  <c r="T140" i="11"/>
  <c r="C138" i="11"/>
  <c r="M137" i="11"/>
  <c r="C137" i="15" s="1"/>
  <c r="N139" i="11" l="1"/>
  <c r="O137" i="11" s="1"/>
  <c r="L137" i="11" s="1"/>
  <c r="B137" i="15" s="1"/>
  <c r="E139" i="11"/>
  <c r="D138" i="11"/>
  <c r="F138" i="11"/>
  <c r="M138" i="11"/>
  <c r="C138" i="15" s="1"/>
  <c r="U140" i="11"/>
  <c r="T141" i="11"/>
  <c r="C139" i="11"/>
  <c r="N140" i="11" l="1"/>
  <c r="O138" i="11" s="1"/>
  <c r="L138" i="11" s="1"/>
  <c r="B138" i="15" s="1"/>
  <c r="E140" i="11"/>
  <c r="D139" i="11"/>
  <c r="F139" i="11"/>
  <c r="U141" i="11"/>
  <c r="T142" i="11"/>
  <c r="C140" i="11"/>
  <c r="M139" i="11"/>
  <c r="C139" i="15" s="1"/>
  <c r="N141" i="11" l="1"/>
  <c r="O139" i="11" s="1"/>
  <c r="L139" i="11" s="1"/>
  <c r="B139" i="15" s="1"/>
  <c r="E141" i="11"/>
  <c r="D140" i="11"/>
  <c r="F140" i="11"/>
  <c r="M140" i="11"/>
  <c r="C140" i="15" s="1"/>
  <c r="U142" i="11"/>
  <c r="T143" i="11"/>
  <c r="C141" i="11"/>
  <c r="N142" i="11" l="1"/>
  <c r="O140" i="11" s="1"/>
  <c r="L140" i="11" s="1"/>
  <c r="B140" i="15" s="1"/>
  <c r="E142" i="11"/>
  <c r="D141" i="11"/>
  <c r="F141" i="11"/>
  <c r="U143" i="11"/>
  <c r="T144" i="11"/>
  <c r="C142" i="11"/>
  <c r="M141" i="11"/>
  <c r="C141" i="15" s="1"/>
  <c r="N143" i="11" l="1"/>
  <c r="O141" i="11" s="1"/>
  <c r="L141" i="11" s="1"/>
  <c r="B141" i="15" s="1"/>
  <c r="E143" i="11"/>
  <c r="D142" i="11"/>
  <c r="F142" i="11"/>
  <c r="M142" i="11"/>
  <c r="C142" i="15" s="1"/>
  <c r="U144" i="11"/>
  <c r="T145" i="11"/>
  <c r="C143" i="11"/>
  <c r="N144" i="11" l="1"/>
  <c r="O142" i="11" s="1"/>
  <c r="L142" i="11" s="1"/>
  <c r="B142" i="15" s="1"/>
  <c r="E144" i="11"/>
  <c r="D143" i="11"/>
  <c r="F143" i="11"/>
  <c r="M143" i="11"/>
  <c r="C143" i="15" s="1"/>
  <c r="U145" i="11"/>
  <c r="T146" i="11"/>
  <c r="C144" i="11"/>
  <c r="N145" i="11" l="1"/>
  <c r="O143" i="11" s="1"/>
  <c r="L143" i="11" s="1"/>
  <c r="B143" i="15" s="1"/>
  <c r="E145" i="11"/>
  <c r="D144" i="11"/>
  <c r="F144" i="11"/>
  <c r="U146" i="11"/>
  <c r="T147" i="11"/>
  <c r="C145" i="11"/>
  <c r="M144" i="11"/>
  <c r="C144" i="15" s="1"/>
  <c r="N146" i="11" l="1"/>
  <c r="O144" i="11" s="1"/>
  <c r="L144" i="11" s="1"/>
  <c r="B144" i="15" s="1"/>
  <c r="E146" i="11"/>
  <c r="D145" i="11"/>
  <c r="F145" i="11"/>
  <c r="M145" i="11"/>
  <c r="C145" i="15" s="1"/>
  <c r="U147" i="11"/>
  <c r="T148" i="11"/>
  <c r="C146" i="11"/>
  <c r="N147" i="11" l="1"/>
  <c r="O145" i="11" s="1"/>
  <c r="L145" i="11" s="1"/>
  <c r="B145" i="15" s="1"/>
  <c r="E147" i="11"/>
  <c r="D146" i="11"/>
  <c r="F146" i="11"/>
  <c r="U148" i="11"/>
  <c r="T149" i="11"/>
  <c r="C147" i="11"/>
  <c r="M146" i="11"/>
  <c r="C146" i="15" s="1"/>
  <c r="N148" i="11" l="1"/>
  <c r="O146" i="11" s="1"/>
  <c r="L146" i="11" s="1"/>
  <c r="B146" i="15" s="1"/>
  <c r="E148" i="11"/>
  <c r="D147" i="11"/>
  <c r="F147" i="11"/>
  <c r="M147" i="11"/>
  <c r="C147" i="15" s="1"/>
  <c r="U149" i="11"/>
  <c r="T150" i="11"/>
  <c r="C148" i="11"/>
  <c r="N149" i="11" l="1"/>
  <c r="O147" i="11" s="1"/>
  <c r="L147" i="11" s="1"/>
  <c r="B147" i="15" s="1"/>
  <c r="E149" i="11"/>
  <c r="D148" i="11"/>
  <c r="F148" i="11"/>
  <c r="U150" i="11"/>
  <c r="T151" i="11"/>
  <c r="C149" i="11"/>
  <c r="M148" i="11"/>
  <c r="C148" i="15" s="1"/>
  <c r="N150" i="11" l="1"/>
  <c r="O148" i="11" s="1"/>
  <c r="L148" i="11" s="1"/>
  <c r="B148" i="15" s="1"/>
  <c r="E150" i="11"/>
  <c r="D149" i="11"/>
  <c r="F149" i="11"/>
  <c r="M149" i="11"/>
  <c r="C149" i="15" s="1"/>
  <c r="U151" i="11"/>
  <c r="T152" i="11"/>
  <c r="C150" i="11"/>
  <c r="N151" i="11" l="1"/>
  <c r="O149" i="11" s="1"/>
  <c r="L149" i="11" s="1"/>
  <c r="B149" i="15" s="1"/>
  <c r="E151" i="11"/>
  <c r="D150" i="11"/>
  <c r="F150" i="11"/>
  <c r="M150" i="11"/>
  <c r="C150" i="15" s="1"/>
  <c r="T153" i="11"/>
  <c r="U152" i="11"/>
  <c r="C151" i="11"/>
  <c r="N152" i="11" l="1"/>
  <c r="O150" i="11" s="1"/>
  <c r="L150" i="11" s="1"/>
  <c r="B150" i="15" s="1"/>
  <c r="E152" i="11"/>
  <c r="D151" i="11"/>
  <c r="F151" i="11"/>
  <c r="M151" i="11"/>
  <c r="C151" i="15" s="1"/>
  <c r="C152" i="11"/>
  <c r="U153" i="11"/>
  <c r="T154" i="11"/>
  <c r="N153" i="11" l="1"/>
  <c r="O151" i="11" s="1"/>
  <c r="L151" i="11" s="1"/>
  <c r="B151" i="15" s="1"/>
  <c r="E153" i="11"/>
  <c r="D152" i="11"/>
  <c r="F152" i="11"/>
  <c r="M152" i="11"/>
  <c r="C152" i="15" s="1"/>
  <c r="C153" i="11"/>
  <c r="T155" i="11"/>
  <c r="U154" i="11"/>
  <c r="N154" i="11" l="1"/>
  <c r="O152" i="11" s="1"/>
  <c r="L152" i="11" s="1"/>
  <c r="B152" i="15" s="1"/>
  <c r="E154" i="11"/>
  <c r="D153" i="11"/>
  <c r="F153" i="11"/>
  <c r="T156" i="11"/>
  <c r="U155" i="11"/>
  <c r="M153" i="11"/>
  <c r="C153" i="15" s="1"/>
  <c r="C154" i="11"/>
  <c r="N155" i="11" l="1"/>
  <c r="O153" i="11" s="1"/>
  <c r="L153" i="11" s="1"/>
  <c r="B153" i="15" s="1"/>
  <c r="E155" i="11"/>
  <c r="D154" i="11"/>
  <c r="F154" i="11"/>
  <c r="M154" i="11"/>
  <c r="C154" i="15" s="1"/>
  <c r="C155" i="11"/>
  <c r="T157" i="11"/>
  <c r="U156" i="11"/>
  <c r="N156" i="11" l="1"/>
  <c r="O154" i="11" s="1"/>
  <c r="L154" i="11" s="1"/>
  <c r="B154" i="15" s="1"/>
  <c r="E156" i="11"/>
  <c r="D155" i="11"/>
  <c r="F155" i="11"/>
  <c r="M155" i="11"/>
  <c r="C155" i="15" s="1"/>
  <c r="C156" i="11"/>
  <c r="T158" i="11"/>
  <c r="U157" i="11"/>
  <c r="N157" i="11" l="1"/>
  <c r="O155" i="11" s="1"/>
  <c r="L155" i="11" s="1"/>
  <c r="B155" i="15" s="1"/>
  <c r="E157" i="11"/>
  <c r="D156" i="11"/>
  <c r="F156" i="11"/>
  <c r="M156" i="11"/>
  <c r="C156" i="15" s="1"/>
  <c r="C157" i="11"/>
  <c r="U158" i="11"/>
  <c r="T159" i="11"/>
  <c r="N158" i="11" l="1"/>
  <c r="O156" i="11" s="1"/>
  <c r="L156" i="11" s="1"/>
  <c r="B156" i="15" s="1"/>
  <c r="E158" i="11"/>
  <c r="D157" i="11"/>
  <c r="F157" i="11"/>
  <c r="M157" i="11"/>
  <c r="C157" i="15" s="1"/>
  <c r="C158" i="11"/>
  <c r="U159" i="11"/>
  <c r="T160" i="11"/>
  <c r="N159" i="11" l="1"/>
  <c r="O157" i="11" s="1"/>
  <c r="L157" i="11" s="1"/>
  <c r="B157" i="15" s="1"/>
  <c r="E159" i="11"/>
  <c r="D158" i="11"/>
  <c r="F158" i="11"/>
  <c r="M158" i="11"/>
  <c r="C158" i="15" s="1"/>
  <c r="C159" i="11"/>
  <c r="U160" i="11"/>
  <c r="T161" i="11"/>
  <c r="N160" i="11" l="1"/>
  <c r="O158" i="11" s="1"/>
  <c r="L158" i="11" s="1"/>
  <c r="B158" i="15" s="1"/>
  <c r="E160" i="11"/>
  <c r="D159" i="11"/>
  <c r="F159" i="11"/>
  <c r="M159" i="11"/>
  <c r="C159" i="15" s="1"/>
  <c r="T162" i="11"/>
  <c r="U161" i="11"/>
  <c r="C160" i="11"/>
  <c r="N161" i="11" l="1"/>
  <c r="O159" i="11" s="1"/>
  <c r="L159" i="11" s="1"/>
  <c r="B159" i="15" s="1"/>
  <c r="E161" i="11"/>
  <c r="D160" i="11"/>
  <c r="F160" i="11"/>
  <c r="C161" i="11"/>
  <c r="T163" i="11"/>
  <c r="U162" i="11"/>
  <c r="M160" i="11"/>
  <c r="C160" i="15" s="1"/>
  <c r="N162" i="11" l="1"/>
  <c r="O160" i="11" s="1"/>
  <c r="L160" i="11" s="1"/>
  <c r="B160" i="15" s="1"/>
  <c r="E162" i="11"/>
  <c r="D161" i="11"/>
  <c r="F161" i="11"/>
  <c r="C162" i="11"/>
  <c r="T164" i="11"/>
  <c r="U163" i="11"/>
  <c r="M161" i="11"/>
  <c r="C161" i="15" s="1"/>
  <c r="N163" i="11" l="1"/>
  <c r="O161" i="11" s="1"/>
  <c r="L161" i="11" s="1"/>
  <c r="B161" i="15" s="1"/>
  <c r="E163" i="11"/>
  <c r="D162" i="11"/>
  <c r="F162" i="11"/>
  <c r="C163" i="11"/>
  <c r="U164" i="11"/>
  <c r="T165" i="11"/>
  <c r="M162" i="11"/>
  <c r="C162" i="15" s="1"/>
  <c r="N164" i="11" l="1"/>
  <c r="O162" i="11" s="1"/>
  <c r="L162" i="11" s="1"/>
  <c r="B162" i="15" s="1"/>
  <c r="E164" i="11"/>
  <c r="D163" i="11"/>
  <c r="F163" i="11"/>
  <c r="U165" i="11"/>
  <c r="T166" i="11"/>
  <c r="C164" i="11"/>
  <c r="M163" i="11"/>
  <c r="C163" i="15" s="1"/>
  <c r="N165" i="11" l="1"/>
  <c r="O163" i="11" s="1"/>
  <c r="L163" i="11" s="1"/>
  <c r="B163" i="15" s="1"/>
  <c r="E165" i="11"/>
  <c r="D164" i="11"/>
  <c r="F164" i="11"/>
  <c r="M164" i="11"/>
  <c r="C164" i="15" s="1"/>
  <c r="U166" i="11"/>
  <c r="T167" i="11"/>
  <c r="C165" i="11"/>
  <c r="N166" i="11" l="1"/>
  <c r="O164" i="11" s="1"/>
  <c r="L164" i="11" s="1"/>
  <c r="B164" i="15" s="1"/>
  <c r="E166" i="11"/>
  <c r="D165" i="11"/>
  <c r="F165" i="11"/>
  <c r="U167" i="11"/>
  <c r="T168" i="11"/>
  <c r="C166" i="11"/>
  <c r="M165" i="11"/>
  <c r="C165" i="15" s="1"/>
  <c r="N167" i="11" l="1"/>
  <c r="O165" i="11" s="1"/>
  <c r="L165" i="11" s="1"/>
  <c r="B165" i="15" s="1"/>
  <c r="E167" i="11"/>
  <c r="D166" i="11"/>
  <c r="F166" i="11"/>
  <c r="M166" i="11"/>
  <c r="C166" i="15" s="1"/>
  <c r="U168" i="11"/>
  <c r="T169" i="11"/>
  <c r="C167" i="11"/>
  <c r="N168" i="11" l="1"/>
  <c r="O166" i="11" s="1"/>
  <c r="L166" i="11" s="1"/>
  <c r="B166" i="15" s="1"/>
  <c r="E168" i="11"/>
  <c r="D167" i="11"/>
  <c r="F167" i="11"/>
  <c r="U169" i="11"/>
  <c r="T170" i="11"/>
  <c r="C168" i="11"/>
  <c r="M167" i="11"/>
  <c r="C167" i="15" s="1"/>
  <c r="N169" i="11" l="1"/>
  <c r="O167" i="11" s="1"/>
  <c r="L167" i="11" s="1"/>
  <c r="B167" i="15" s="1"/>
  <c r="E169" i="11"/>
  <c r="D168" i="11"/>
  <c r="F168" i="11"/>
  <c r="M168" i="11"/>
  <c r="C168" i="15" s="1"/>
  <c r="U170" i="11"/>
  <c r="T171" i="11"/>
  <c r="C169" i="11"/>
  <c r="N170" i="11" l="1"/>
  <c r="O168" i="11" s="1"/>
  <c r="L168" i="11" s="1"/>
  <c r="B168" i="15" s="1"/>
  <c r="E170" i="11"/>
  <c r="D169" i="11"/>
  <c r="F169" i="11"/>
  <c r="U171" i="11"/>
  <c r="T172" i="11"/>
  <c r="C170" i="11"/>
  <c r="M169" i="11"/>
  <c r="C169" i="15" s="1"/>
  <c r="N171" i="11" l="1"/>
  <c r="O169" i="11" s="1"/>
  <c r="L169" i="11" s="1"/>
  <c r="B169" i="15" s="1"/>
  <c r="E171" i="11"/>
  <c r="D170" i="11"/>
  <c r="F170" i="11"/>
  <c r="M170" i="11"/>
  <c r="C170" i="15" s="1"/>
  <c r="U172" i="11"/>
  <c r="T173" i="11"/>
  <c r="C171" i="11"/>
  <c r="N172" i="11" l="1"/>
  <c r="O170" i="11" s="1"/>
  <c r="L170" i="11" s="1"/>
  <c r="B170" i="15" s="1"/>
  <c r="E172" i="11"/>
  <c r="D171" i="11"/>
  <c r="F171" i="11"/>
  <c r="U173" i="11"/>
  <c r="T174" i="11"/>
  <c r="C172" i="11"/>
  <c r="M171" i="11"/>
  <c r="C171" i="15" s="1"/>
  <c r="N173" i="11" l="1"/>
  <c r="O171" i="11" s="1"/>
  <c r="L171" i="11" s="1"/>
  <c r="B171" i="15" s="1"/>
  <c r="E173" i="11"/>
  <c r="D172" i="11"/>
  <c r="F172" i="11"/>
  <c r="M172" i="11"/>
  <c r="C172" i="15" s="1"/>
  <c r="U174" i="11"/>
  <c r="T175" i="11"/>
  <c r="C173" i="11"/>
  <c r="N174" i="11" l="1"/>
  <c r="O172" i="11" s="1"/>
  <c r="L172" i="11" s="1"/>
  <c r="B172" i="15" s="1"/>
  <c r="E174" i="11"/>
  <c r="D173" i="11"/>
  <c r="F173" i="11"/>
  <c r="M173" i="11"/>
  <c r="C173" i="15" s="1"/>
  <c r="U175" i="11"/>
  <c r="T176" i="11"/>
  <c r="C174" i="11"/>
  <c r="N175" i="11" l="1"/>
  <c r="O173" i="11" s="1"/>
  <c r="L173" i="11" s="1"/>
  <c r="B173" i="15" s="1"/>
  <c r="E175" i="11"/>
  <c r="D174" i="11"/>
  <c r="F174" i="11"/>
  <c r="U176" i="11"/>
  <c r="T177" i="11"/>
  <c r="C175" i="11"/>
  <c r="M174" i="11"/>
  <c r="C174" i="15" s="1"/>
  <c r="N176" i="11" l="1"/>
  <c r="O174" i="11" s="1"/>
  <c r="L174" i="11" s="1"/>
  <c r="B174" i="15" s="1"/>
  <c r="E176" i="11"/>
  <c r="D175" i="11"/>
  <c r="F175" i="11"/>
  <c r="M175" i="11"/>
  <c r="C175" i="15" s="1"/>
  <c r="U177" i="11"/>
  <c r="T178" i="11"/>
  <c r="C176" i="11"/>
  <c r="N177" i="11" l="1"/>
  <c r="O175" i="11" s="1"/>
  <c r="L175" i="11" s="1"/>
  <c r="B175" i="15" s="1"/>
  <c r="E177" i="11"/>
  <c r="D176" i="11"/>
  <c r="F176" i="11"/>
  <c r="U178" i="11"/>
  <c r="T179" i="11"/>
  <c r="C177" i="11"/>
  <c r="M176" i="11"/>
  <c r="C176" i="15" s="1"/>
  <c r="N178" i="11" l="1"/>
  <c r="O176" i="11" s="1"/>
  <c r="L176" i="11" s="1"/>
  <c r="B176" i="15" s="1"/>
  <c r="E178" i="11"/>
  <c r="D177" i="11"/>
  <c r="F177" i="11"/>
  <c r="M177" i="11"/>
  <c r="C177" i="15" s="1"/>
  <c r="U179" i="11"/>
  <c r="T180" i="11"/>
  <c r="C178" i="11"/>
  <c r="N179" i="11" l="1"/>
  <c r="O177" i="11" s="1"/>
  <c r="L177" i="11" s="1"/>
  <c r="B177" i="15" s="1"/>
  <c r="E179" i="11"/>
  <c r="D178" i="11"/>
  <c r="F178" i="11"/>
  <c r="U180" i="11"/>
  <c r="T181" i="11"/>
  <c r="C179" i="11"/>
  <c r="M178" i="11"/>
  <c r="C178" i="15" s="1"/>
  <c r="N180" i="11" l="1"/>
  <c r="O178" i="11" s="1"/>
  <c r="L178" i="11" s="1"/>
  <c r="B178" i="15" s="1"/>
  <c r="E180" i="11"/>
  <c r="D179" i="11"/>
  <c r="F179" i="11"/>
  <c r="M179" i="11"/>
  <c r="C179" i="15" s="1"/>
  <c r="U181" i="11"/>
  <c r="T182" i="11"/>
  <c r="C180" i="11"/>
  <c r="N181" i="11" l="1"/>
  <c r="O179" i="11" s="1"/>
  <c r="L179" i="11" s="1"/>
  <c r="B179" i="15" s="1"/>
  <c r="E181" i="11"/>
  <c r="D180" i="11"/>
  <c r="F180" i="11"/>
  <c r="T183" i="11"/>
  <c r="U182" i="11"/>
  <c r="C181" i="11"/>
  <c r="M180" i="11"/>
  <c r="C180" i="15" s="1"/>
  <c r="N182" i="11" l="1"/>
  <c r="O180" i="11" s="1"/>
  <c r="L180" i="11" s="1"/>
  <c r="B180" i="15" s="1"/>
  <c r="E182" i="11"/>
  <c r="D181" i="11"/>
  <c r="F181" i="11"/>
  <c r="M181" i="11"/>
  <c r="C181" i="15" s="1"/>
  <c r="C182" i="11"/>
  <c r="U183" i="11"/>
  <c r="T184" i="11"/>
  <c r="N183" i="11" l="1"/>
  <c r="O181" i="11" s="1"/>
  <c r="L181" i="11" s="1"/>
  <c r="B181" i="15" s="1"/>
  <c r="E183" i="11"/>
  <c r="D182" i="11"/>
  <c r="F182" i="11"/>
  <c r="M182" i="11"/>
  <c r="C182" i="15" s="1"/>
  <c r="C183" i="11"/>
  <c r="T185" i="11"/>
  <c r="U184" i="11"/>
  <c r="N184" i="11" l="1"/>
  <c r="O182" i="11" s="1"/>
  <c r="L182" i="11" s="1"/>
  <c r="B182" i="15" s="1"/>
  <c r="E184" i="11"/>
  <c r="D183" i="11"/>
  <c r="F183" i="11"/>
  <c r="M183" i="11"/>
  <c r="C183" i="15" s="1"/>
  <c r="U185" i="11"/>
  <c r="T186" i="11"/>
  <c r="C184" i="11"/>
  <c r="N185" i="11" l="1"/>
  <c r="O183" i="11" s="1"/>
  <c r="L183" i="11" s="1"/>
  <c r="B183" i="15" s="1"/>
  <c r="E185" i="11"/>
  <c r="D184" i="11"/>
  <c r="F184" i="11"/>
  <c r="C185" i="11"/>
  <c r="M184" i="11"/>
  <c r="C184" i="15" s="1"/>
  <c r="U186" i="11"/>
  <c r="T187" i="11"/>
  <c r="N186" i="11" l="1"/>
  <c r="O184" i="11" s="1"/>
  <c r="L184" i="11" s="1"/>
  <c r="B184" i="15" s="1"/>
  <c r="E186" i="11"/>
  <c r="D185" i="11"/>
  <c r="F185" i="11"/>
  <c r="U187" i="11"/>
  <c r="T188" i="11"/>
  <c r="C186" i="11"/>
  <c r="M185" i="11"/>
  <c r="C185" i="15" s="1"/>
  <c r="N187" i="11" l="1"/>
  <c r="O185" i="11" s="1"/>
  <c r="L185" i="11" s="1"/>
  <c r="B185" i="15" s="1"/>
  <c r="E187" i="11"/>
  <c r="D186" i="11"/>
  <c r="F186" i="11"/>
  <c r="M186" i="11"/>
  <c r="C186" i="15" s="1"/>
  <c r="U188" i="11"/>
  <c r="T189" i="11"/>
  <c r="C187" i="11"/>
  <c r="N188" i="11" l="1"/>
  <c r="O186" i="11" s="1"/>
  <c r="L186" i="11" s="1"/>
  <c r="B186" i="15" s="1"/>
  <c r="E188" i="11"/>
  <c r="D187" i="11"/>
  <c r="F187" i="11"/>
  <c r="U189" i="11"/>
  <c r="T190" i="11"/>
  <c r="C188" i="11"/>
  <c r="M187" i="11"/>
  <c r="C187" i="15" s="1"/>
  <c r="N189" i="11" l="1"/>
  <c r="O187" i="11" s="1"/>
  <c r="L187" i="11" s="1"/>
  <c r="B187" i="15" s="1"/>
  <c r="E189" i="11"/>
  <c r="D188" i="11"/>
  <c r="F188" i="11"/>
  <c r="M188" i="11"/>
  <c r="C188" i="15" s="1"/>
  <c r="U190" i="11"/>
  <c r="T191" i="11"/>
  <c r="C189" i="11"/>
  <c r="N190" i="11" l="1"/>
  <c r="O188" i="11" s="1"/>
  <c r="L188" i="11" s="1"/>
  <c r="B188" i="15" s="1"/>
  <c r="E190" i="11"/>
  <c r="D189" i="11"/>
  <c r="F189" i="11"/>
  <c r="U191" i="11"/>
  <c r="T192" i="11"/>
  <c r="C190" i="11"/>
  <c r="M189" i="11"/>
  <c r="C189" i="15" s="1"/>
  <c r="N191" i="11" l="1"/>
  <c r="O189" i="11" s="1"/>
  <c r="L189" i="11" s="1"/>
  <c r="B189" i="15" s="1"/>
  <c r="E191" i="11"/>
  <c r="D190" i="11"/>
  <c r="F190" i="11"/>
  <c r="M190" i="11"/>
  <c r="C190" i="15" s="1"/>
  <c r="T193" i="11"/>
  <c r="U192" i="11"/>
  <c r="C191" i="11"/>
  <c r="N192" i="11" l="1"/>
  <c r="O190" i="11" s="1"/>
  <c r="L190" i="11" s="1"/>
  <c r="B190" i="15" s="1"/>
  <c r="E192" i="11"/>
  <c r="D191" i="11"/>
  <c r="F191" i="11"/>
  <c r="M191" i="11"/>
  <c r="C191" i="15" s="1"/>
  <c r="U193" i="11"/>
  <c r="T194" i="11"/>
  <c r="C192" i="11"/>
  <c r="N193" i="11" l="1"/>
  <c r="O191" i="11" s="1"/>
  <c r="L191" i="11" s="1"/>
  <c r="B191" i="15" s="1"/>
  <c r="E193" i="11"/>
  <c r="D192" i="11"/>
  <c r="F192" i="11"/>
  <c r="T195" i="11"/>
  <c r="U194" i="11"/>
  <c r="C193" i="11"/>
  <c r="M192" i="11"/>
  <c r="C192" i="15" s="1"/>
  <c r="N194" i="11" l="1"/>
  <c r="O192" i="11" s="1"/>
  <c r="L192" i="11" s="1"/>
  <c r="B192" i="15" s="1"/>
  <c r="E194" i="11"/>
  <c r="D193" i="11"/>
  <c r="F193" i="11"/>
  <c r="M193" i="11"/>
  <c r="C193" i="15" s="1"/>
  <c r="C194" i="11"/>
  <c r="T196" i="11"/>
  <c r="U195" i="11"/>
  <c r="N195" i="11" l="1"/>
  <c r="O193" i="11" s="1"/>
  <c r="L193" i="11" s="1"/>
  <c r="B193" i="15" s="1"/>
  <c r="E195" i="11"/>
  <c r="D194" i="11"/>
  <c r="F194" i="11"/>
  <c r="M194" i="11"/>
  <c r="C194" i="15" s="1"/>
  <c r="T197" i="11"/>
  <c r="U196" i="11"/>
  <c r="C195" i="11"/>
  <c r="N196" i="11" l="1"/>
  <c r="O194" i="11" s="1"/>
  <c r="L194" i="11" s="1"/>
  <c r="B194" i="15" s="1"/>
  <c r="E196" i="11"/>
  <c r="D195" i="11"/>
  <c r="F195" i="11"/>
  <c r="C196" i="11"/>
  <c r="U197" i="11"/>
  <c r="T198" i="11"/>
  <c r="M195" i="11"/>
  <c r="C195" i="15" s="1"/>
  <c r="N197" i="11" l="1"/>
  <c r="O195" i="11" s="1"/>
  <c r="L195" i="11" s="1"/>
  <c r="B195" i="15" s="1"/>
  <c r="E197" i="11"/>
  <c r="D196" i="11"/>
  <c r="F196" i="11"/>
  <c r="U198" i="11"/>
  <c r="T199" i="11"/>
  <c r="C197" i="11"/>
  <c r="M196" i="11"/>
  <c r="C196" i="15" s="1"/>
  <c r="N198" i="11" l="1"/>
  <c r="O196" i="11" s="1"/>
  <c r="L196" i="11" s="1"/>
  <c r="B196" i="15" s="1"/>
  <c r="E198" i="11"/>
  <c r="D197" i="11"/>
  <c r="F197" i="11"/>
  <c r="M197" i="11"/>
  <c r="C197" i="15" s="1"/>
  <c r="U199" i="11"/>
  <c r="T200" i="11"/>
  <c r="C198" i="11"/>
  <c r="N199" i="11" l="1"/>
  <c r="O197" i="11" s="1"/>
  <c r="L197" i="11" s="1"/>
  <c r="B197" i="15" s="1"/>
  <c r="E199" i="11"/>
  <c r="D198" i="11"/>
  <c r="F198" i="11"/>
  <c r="U200" i="11"/>
  <c r="T201" i="11"/>
  <c r="C199" i="11"/>
  <c r="M198" i="11"/>
  <c r="C198" i="15" s="1"/>
  <c r="N200" i="11" l="1"/>
  <c r="O198" i="11" s="1"/>
  <c r="L198" i="11" s="1"/>
  <c r="B198" i="15" s="1"/>
  <c r="E200" i="11"/>
  <c r="D199" i="11"/>
  <c r="F199" i="11"/>
  <c r="M199" i="11"/>
  <c r="C199" i="15" s="1"/>
  <c r="U201" i="11"/>
  <c r="T202" i="11"/>
  <c r="C200" i="11"/>
  <c r="N201" i="11" l="1"/>
  <c r="O199" i="11" s="1"/>
  <c r="L199" i="11" s="1"/>
  <c r="B199" i="15" s="1"/>
  <c r="E201" i="11"/>
  <c r="D200" i="11"/>
  <c r="F200" i="11"/>
  <c r="M200" i="11"/>
  <c r="C200" i="15" s="1"/>
  <c r="U202" i="11"/>
  <c r="T203" i="11"/>
  <c r="C201" i="11"/>
  <c r="N202" i="11" l="1"/>
  <c r="O200" i="11" s="1"/>
  <c r="L200" i="11" s="1"/>
  <c r="B200" i="15" s="1"/>
  <c r="E202" i="11"/>
  <c r="D201" i="11"/>
  <c r="F201" i="11"/>
  <c r="M201" i="11"/>
  <c r="C201" i="15" s="1"/>
  <c r="U203" i="11"/>
  <c r="T204" i="11"/>
  <c r="C202" i="11"/>
  <c r="N203" i="11" l="1"/>
  <c r="O201" i="11" s="1"/>
  <c r="L201" i="11" s="1"/>
  <c r="B201" i="15" s="1"/>
  <c r="E203" i="11"/>
  <c r="D202" i="11"/>
  <c r="F202" i="11"/>
  <c r="U204" i="11"/>
  <c r="T205" i="11"/>
  <c r="C203" i="11"/>
  <c r="M202" i="11"/>
  <c r="C202" i="15" s="1"/>
  <c r="N204" i="11" l="1"/>
  <c r="O202" i="11" s="1"/>
  <c r="L202" i="11" s="1"/>
  <c r="B202" i="15" s="1"/>
  <c r="E204" i="11"/>
  <c r="D203" i="11"/>
  <c r="F203" i="11"/>
  <c r="M203" i="11"/>
  <c r="C203" i="15" s="1"/>
  <c r="U205" i="11"/>
  <c r="T206" i="11"/>
  <c r="C204" i="11"/>
  <c r="N205" i="11" l="1"/>
  <c r="O203" i="11" s="1"/>
  <c r="L203" i="11" s="1"/>
  <c r="B203" i="15" s="1"/>
  <c r="E205" i="11"/>
  <c r="D204" i="11"/>
  <c r="F204" i="11"/>
  <c r="U206" i="11"/>
  <c r="T207" i="11"/>
  <c r="C205" i="11"/>
  <c r="M204" i="11"/>
  <c r="C204" i="15" s="1"/>
  <c r="N206" i="11" l="1"/>
  <c r="O204" i="11" s="1"/>
  <c r="L204" i="11" s="1"/>
  <c r="B204" i="15" s="1"/>
  <c r="E206" i="11"/>
  <c r="D205" i="11"/>
  <c r="F205" i="11"/>
  <c r="M205" i="11"/>
  <c r="C205" i="15" s="1"/>
  <c r="U207" i="11"/>
  <c r="T208" i="11"/>
  <c r="C206" i="11"/>
  <c r="N207" i="11" l="1"/>
  <c r="O205" i="11" s="1"/>
  <c r="L205" i="11" s="1"/>
  <c r="B205" i="15" s="1"/>
  <c r="E207" i="11"/>
  <c r="D206" i="11"/>
  <c r="F206" i="11"/>
  <c r="U208" i="11"/>
  <c r="T209" i="11"/>
  <c r="C207" i="11"/>
  <c r="M206" i="11"/>
  <c r="C206" i="15" s="1"/>
  <c r="N208" i="11" l="1"/>
  <c r="O206" i="11" s="1"/>
  <c r="L206" i="11" s="1"/>
  <c r="B206" i="15" s="1"/>
  <c r="E208" i="11"/>
  <c r="D207" i="11"/>
  <c r="F207" i="11"/>
  <c r="M207" i="11"/>
  <c r="C207" i="15" s="1"/>
  <c r="U209" i="11"/>
  <c r="T210" i="11"/>
  <c r="C208" i="11"/>
  <c r="N209" i="11" l="1"/>
  <c r="O207" i="11" s="1"/>
  <c r="L207" i="11" s="1"/>
  <c r="B207" i="15" s="1"/>
  <c r="E209" i="11"/>
  <c r="D208" i="11"/>
  <c r="F208" i="11"/>
  <c r="M208" i="11"/>
  <c r="C208" i="15" s="1"/>
  <c r="U210" i="11"/>
  <c r="T211" i="11"/>
  <c r="C209" i="11"/>
  <c r="N210" i="11" l="1"/>
  <c r="O208" i="11" s="1"/>
  <c r="L208" i="11" s="1"/>
  <c r="B208" i="15" s="1"/>
  <c r="E210" i="11"/>
  <c r="D209" i="11"/>
  <c r="F209" i="11"/>
  <c r="M209" i="11"/>
  <c r="C209" i="15" s="1"/>
  <c r="U211" i="11"/>
  <c r="T212" i="11"/>
  <c r="C210" i="11"/>
  <c r="N211" i="11" l="1"/>
  <c r="O209" i="11" s="1"/>
  <c r="L209" i="11" s="1"/>
  <c r="B209" i="15" s="1"/>
  <c r="E211" i="11"/>
  <c r="D210" i="11"/>
  <c r="F210" i="11"/>
  <c r="M210" i="11"/>
  <c r="C210" i="15" s="1"/>
  <c r="T213" i="11"/>
  <c r="U212" i="11"/>
  <c r="C211" i="11"/>
  <c r="N212" i="11" l="1"/>
  <c r="O210" i="11" s="1"/>
  <c r="L210" i="11" s="1"/>
  <c r="B210" i="15" s="1"/>
  <c r="E212" i="11"/>
  <c r="D211" i="11"/>
  <c r="F211" i="11"/>
  <c r="C212" i="11"/>
  <c r="T214" i="11"/>
  <c r="U213" i="11"/>
  <c r="M211" i="11"/>
  <c r="C211" i="15" s="1"/>
  <c r="N213" i="11" l="1"/>
  <c r="O211" i="11" s="1"/>
  <c r="L211" i="11" s="1"/>
  <c r="B211" i="15" s="1"/>
  <c r="E213" i="11"/>
  <c r="D212" i="11"/>
  <c r="F212" i="11"/>
  <c r="U214" i="11"/>
  <c r="T215" i="11"/>
  <c r="C213" i="11"/>
  <c r="M212" i="11"/>
  <c r="C212" i="15" s="1"/>
  <c r="N214" i="11" l="1"/>
  <c r="O212" i="11" s="1"/>
  <c r="L212" i="11" s="1"/>
  <c r="B212" i="15" s="1"/>
  <c r="E214" i="11"/>
  <c r="D213" i="11"/>
  <c r="F213" i="11"/>
  <c r="M213" i="11"/>
  <c r="C213" i="15" s="1"/>
  <c r="T216" i="11"/>
  <c r="U215" i="11"/>
  <c r="C214" i="11"/>
  <c r="N215" i="11" l="1"/>
  <c r="O213" i="11" s="1"/>
  <c r="L213" i="11" s="1"/>
  <c r="B213" i="15" s="1"/>
  <c r="E215" i="11"/>
  <c r="D214" i="11"/>
  <c r="F214" i="11"/>
  <c r="C215" i="11"/>
  <c r="T217" i="11"/>
  <c r="U216" i="11"/>
  <c r="M214" i="11"/>
  <c r="C214" i="15" s="1"/>
  <c r="N216" i="11" l="1"/>
  <c r="O214" i="11" s="1"/>
  <c r="L214" i="11" s="1"/>
  <c r="B214" i="15" s="1"/>
  <c r="E216" i="11"/>
  <c r="D215" i="11"/>
  <c r="F215" i="11"/>
  <c r="C216" i="11"/>
  <c r="T218" i="11"/>
  <c r="U217" i="11"/>
  <c r="M215" i="11"/>
  <c r="C215" i="15" s="1"/>
  <c r="N217" i="11" l="1"/>
  <c r="O215" i="11" s="1"/>
  <c r="L215" i="11" s="1"/>
  <c r="B215" i="15" s="1"/>
  <c r="E217" i="11"/>
  <c r="D216" i="11"/>
  <c r="F216" i="11"/>
  <c r="C217" i="11"/>
  <c r="U218" i="11"/>
  <c r="T219" i="11"/>
  <c r="M216" i="11"/>
  <c r="C216" i="15" s="1"/>
  <c r="N218" i="11" l="1"/>
  <c r="O216" i="11" s="1"/>
  <c r="L216" i="11" s="1"/>
  <c r="B216" i="15" s="1"/>
  <c r="E218" i="11"/>
  <c r="D217" i="11"/>
  <c r="F217" i="11"/>
  <c r="C218" i="11"/>
  <c r="U219" i="11"/>
  <c r="T220" i="11"/>
  <c r="M217" i="11"/>
  <c r="C217" i="15" s="1"/>
  <c r="N219" i="11" l="1"/>
  <c r="O217" i="11" s="1"/>
  <c r="L217" i="11" s="1"/>
  <c r="B217" i="15" s="1"/>
  <c r="E219" i="11"/>
  <c r="D218" i="11"/>
  <c r="F218" i="11"/>
  <c r="U220" i="11"/>
  <c r="T221" i="11"/>
  <c r="C219" i="11"/>
  <c r="M218" i="11"/>
  <c r="C218" i="15" s="1"/>
  <c r="N220" i="11" l="1"/>
  <c r="O218" i="11" s="1"/>
  <c r="L218" i="11" s="1"/>
  <c r="B218" i="15" s="1"/>
  <c r="E220" i="11"/>
  <c r="D219" i="11"/>
  <c r="F219" i="11"/>
  <c r="M219" i="11"/>
  <c r="C219" i="15" s="1"/>
  <c r="U221" i="11"/>
  <c r="T222" i="11"/>
  <c r="C220" i="11"/>
  <c r="N221" i="11" l="1"/>
  <c r="O219" i="11" s="1"/>
  <c r="L219" i="11" s="1"/>
  <c r="B219" i="15" s="1"/>
  <c r="E221" i="11"/>
  <c r="D220" i="11"/>
  <c r="F220" i="11"/>
  <c r="M220" i="11"/>
  <c r="C220" i="15" s="1"/>
  <c r="U222" i="11"/>
  <c r="T223" i="11"/>
  <c r="C221" i="11"/>
  <c r="N222" i="11" l="1"/>
  <c r="O220" i="11" s="1"/>
  <c r="L220" i="11" s="1"/>
  <c r="B220" i="15" s="1"/>
  <c r="E222" i="11"/>
  <c r="D221" i="11"/>
  <c r="F221" i="11"/>
  <c r="U223" i="11"/>
  <c r="T224" i="11"/>
  <c r="C222" i="11"/>
  <c r="M221" i="11"/>
  <c r="C221" i="15" s="1"/>
  <c r="N223" i="11" l="1"/>
  <c r="O221" i="11" s="1"/>
  <c r="L221" i="11" s="1"/>
  <c r="B221" i="15" s="1"/>
  <c r="E223" i="11"/>
  <c r="D222" i="11"/>
  <c r="F222" i="11"/>
  <c r="M222" i="11"/>
  <c r="C222" i="15" s="1"/>
  <c r="U224" i="11"/>
  <c r="T225" i="11"/>
  <c r="C223" i="11"/>
  <c r="N224" i="11" l="1"/>
  <c r="O222" i="11" s="1"/>
  <c r="L222" i="11" s="1"/>
  <c r="B222" i="15" s="1"/>
  <c r="E224" i="11"/>
  <c r="D223" i="11"/>
  <c r="F223" i="11"/>
  <c r="U225" i="11"/>
  <c r="T226" i="11"/>
  <c r="C224" i="11"/>
  <c r="M223" i="11"/>
  <c r="C223" i="15" s="1"/>
  <c r="N225" i="11" l="1"/>
  <c r="O223" i="11" s="1"/>
  <c r="L223" i="11" s="1"/>
  <c r="B223" i="15" s="1"/>
  <c r="E225" i="11"/>
  <c r="D224" i="11"/>
  <c r="F224" i="11"/>
  <c r="M224" i="11"/>
  <c r="C224" i="15" s="1"/>
  <c r="U226" i="11"/>
  <c r="T227" i="11"/>
  <c r="C225" i="11"/>
  <c r="N226" i="11" l="1"/>
  <c r="O224" i="11" s="1"/>
  <c r="L224" i="11" s="1"/>
  <c r="B224" i="15" s="1"/>
  <c r="E226" i="11"/>
  <c r="D225" i="11"/>
  <c r="F225" i="11"/>
  <c r="U227" i="11"/>
  <c r="T228" i="11"/>
  <c r="C226" i="11"/>
  <c r="M225" i="11"/>
  <c r="C225" i="15" s="1"/>
  <c r="N227" i="11" l="1"/>
  <c r="O225" i="11" s="1"/>
  <c r="L225" i="11" s="1"/>
  <c r="B225" i="15" s="1"/>
  <c r="E227" i="11"/>
  <c r="D226" i="11"/>
  <c r="F226" i="11"/>
  <c r="M226" i="11"/>
  <c r="C226" i="15" s="1"/>
  <c r="U228" i="11"/>
  <c r="T229" i="11"/>
  <c r="C227" i="11"/>
  <c r="N228" i="11" l="1"/>
  <c r="O226" i="11" s="1"/>
  <c r="L226" i="11" s="1"/>
  <c r="B226" i="15" s="1"/>
  <c r="E228" i="11"/>
  <c r="D227" i="11"/>
  <c r="F227" i="11"/>
  <c r="U229" i="11"/>
  <c r="T230" i="11"/>
  <c r="C228" i="11"/>
  <c r="M227" i="11"/>
  <c r="C227" i="15" s="1"/>
  <c r="N229" i="11" l="1"/>
  <c r="O227" i="11" s="1"/>
  <c r="L227" i="11" s="1"/>
  <c r="B227" i="15" s="1"/>
  <c r="E229" i="11"/>
  <c r="D228" i="11"/>
  <c r="F228" i="11"/>
  <c r="M228" i="11"/>
  <c r="C228" i="15" s="1"/>
  <c r="U230" i="11"/>
  <c r="T231" i="11"/>
  <c r="C229" i="11"/>
  <c r="N230" i="11" l="1"/>
  <c r="O228" i="11" s="1"/>
  <c r="L228" i="11" s="1"/>
  <c r="B228" i="15" s="1"/>
  <c r="E230" i="11"/>
  <c r="D229" i="11"/>
  <c r="F229" i="11"/>
  <c r="M229" i="11"/>
  <c r="C229" i="15" s="1"/>
  <c r="C230" i="11"/>
  <c r="U231" i="11"/>
  <c r="T232" i="11"/>
  <c r="N231" i="11" l="1"/>
  <c r="O229" i="11" s="1"/>
  <c r="L229" i="11" s="1"/>
  <c r="B229" i="15" s="1"/>
  <c r="E231" i="11"/>
  <c r="D230" i="11"/>
  <c r="F230" i="11"/>
  <c r="M230" i="11"/>
  <c r="C230" i="15" s="1"/>
  <c r="C231" i="11"/>
  <c r="U232" i="11"/>
  <c r="T233" i="11"/>
  <c r="N232" i="11" l="1"/>
  <c r="O230" i="11" s="1"/>
  <c r="L230" i="11" s="1"/>
  <c r="B230" i="15" s="1"/>
  <c r="E232" i="11"/>
  <c r="D231" i="11"/>
  <c r="F231" i="11"/>
  <c r="U233" i="11"/>
  <c r="T234" i="11"/>
  <c r="C232" i="11"/>
  <c r="M231" i="11"/>
  <c r="C231" i="15" s="1"/>
  <c r="N233" i="11" l="1"/>
  <c r="O231" i="11" s="1"/>
  <c r="L231" i="11" s="1"/>
  <c r="B231" i="15" s="1"/>
  <c r="E233" i="11"/>
  <c r="D232" i="11"/>
  <c r="F232" i="11"/>
  <c r="M232" i="11"/>
  <c r="C232" i="15" s="1"/>
  <c r="T235" i="11"/>
  <c r="U234" i="11"/>
  <c r="C233" i="11"/>
  <c r="N234" i="11" l="1"/>
  <c r="O232" i="11" s="1"/>
  <c r="L232" i="11" s="1"/>
  <c r="B232" i="15" s="1"/>
  <c r="E234" i="11"/>
  <c r="D233" i="11"/>
  <c r="F233" i="11"/>
  <c r="M233" i="11"/>
  <c r="C233" i="15" s="1"/>
  <c r="C234" i="11"/>
  <c r="T236" i="11"/>
  <c r="U235" i="11"/>
  <c r="N235" i="11" l="1"/>
  <c r="O233" i="11" s="1"/>
  <c r="L233" i="11" s="1"/>
  <c r="B233" i="15" s="1"/>
  <c r="E235" i="11"/>
  <c r="D234" i="11"/>
  <c r="F234" i="11"/>
  <c r="M234" i="11"/>
  <c r="C234" i="15" s="1"/>
  <c r="C235" i="11"/>
  <c r="T237" i="11"/>
  <c r="U236" i="11"/>
  <c r="N236" i="11" l="1"/>
  <c r="O234" i="11" s="1"/>
  <c r="L234" i="11" s="1"/>
  <c r="B234" i="15" s="1"/>
  <c r="E236" i="11"/>
  <c r="D235" i="11"/>
  <c r="F235" i="11"/>
  <c r="T238" i="11"/>
  <c r="U237" i="11"/>
  <c r="C236" i="11"/>
  <c r="M235" i="11"/>
  <c r="C235" i="15" s="1"/>
  <c r="N237" i="11" l="1"/>
  <c r="O235" i="11" s="1"/>
  <c r="L235" i="11" s="1"/>
  <c r="B235" i="15" s="1"/>
  <c r="E237" i="11"/>
  <c r="D236" i="11"/>
  <c r="F236" i="11"/>
  <c r="M236" i="11"/>
  <c r="C236" i="15" s="1"/>
  <c r="C237" i="11"/>
  <c r="T239" i="11"/>
  <c r="U238" i="11"/>
  <c r="N238" i="11" l="1"/>
  <c r="O236" i="11" s="1"/>
  <c r="L236" i="11" s="1"/>
  <c r="B236" i="15" s="1"/>
  <c r="E238" i="11"/>
  <c r="D237" i="11"/>
  <c r="F237" i="11"/>
  <c r="C238" i="11"/>
  <c r="M237" i="11"/>
  <c r="C237" i="15" s="1"/>
  <c r="U239" i="11"/>
  <c r="T240" i="11"/>
  <c r="N239" i="11" l="1"/>
  <c r="O237" i="11" s="1"/>
  <c r="L237" i="11" s="1"/>
  <c r="B237" i="15" s="1"/>
  <c r="E239" i="11"/>
  <c r="D238" i="11"/>
  <c r="F238" i="11"/>
  <c r="C239" i="11"/>
  <c r="T241" i="11"/>
  <c r="U240" i="11"/>
  <c r="M238" i="11"/>
  <c r="C238" i="15" s="1"/>
  <c r="N240" i="11" l="1"/>
  <c r="O238" i="11" s="1"/>
  <c r="L238" i="11" s="1"/>
  <c r="B238" i="15" s="1"/>
  <c r="E240" i="11"/>
  <c r="D239" i="11"/>
  <c r="F239" i="11"/>
  <c r="C240" i="11"/>
  <c r="T242" i="11"/>
  <c r="U241" i="11"/>
  <c r="M239" i="11"/>
  <c r="C239" i="15" s="1"/>
  <c r="N241" i="11" l="1"/>
  <c r="O239" i="11" s="1"/>
  <c r="L239" i="11" s="1"/>
  <c r="B239" i="15" s="1"/>
  <c r="E241" i="11"/>
  <c r="D240" i="11"/>
  <c r="F240" i="11"/>
  <c r="C241" i="11"/>
  <c r="T243" i="11"/>
  <c r="U242" i="11"/>
  <c r="M240" i="11"/>
  <c r="C240" i="15" s="1"/>
  <c r="N242" i="11" l="1"/>
  <c r="O240" i="11" s="1"/>
  <c r="L240" i="11" s="1"/>
  <c r="B240" i="15" s="1"/>
  <c r="E242" i="11"/>
  <c r="D241" i="11"/>
  <c r="F241" i="11"/>
  <c r="C242" i="11"/>
  <c r="T244" i="11"/>
  <c r="U243" i="11"/>
  <c r="M241" i="11"/>
  <c r="C241" i="15" s="1"/>
  <c r="N243" i="11" l="1"/>
  <c r="O241" i="11" s="1"/>
  <c r="L241" i="11" s="1"/>
  <c r="B241" i="15" s="1"/>
  <c r="E243" i="11"/>
  <c r="D242" i="11"/>
  <c r="F242" i="11"/>
  <c r="C243" i="11"/>
  <c r="U244" i="11"/>
  <c r="T245" i="11"/>
  <c r="M242" i="11"/>
  <c r="C242" i="15" s="1"/>
  <c r="N244" i="11" l="1"/>
  <c r="O242" i="11" s="1"/>
  <c r="L242" i="11" s="1"/>
  <c r="B242" i="15" s="1"/>
  <c r="E244" i="11"/>
  <c r="D243" i="11"/>
  <c r="F243" i="11"/>
  <c r="T246" i="11"/>
  <c r="U245" i="11"/>
  <c r="C244" i="11"/>
  <c r="M243" i="11"/>
  <c r="C243" i="15" s="1"/>
  <c r="N245" i="11" l="1"/>
  <c r="O243" i="11" s="1"/>
  <c r="L243" i="11" s="1"/>
  <c r="B243" i="15" s="1"/>
  <c r="E245" i="11"/>
  <c r="D244" i="11"/>
  <c r="F244" i="11"/>
  <c r="M244" i="11"/>
  <c r="C244" i="15" s="1"/>
  <c r="C245" i="11"/>
  <c r="T247" i="11"/>
  <c r="U246" i="11"/>
  <c r="N246" i="11" l="1"/>
  <c r="O244" i="11" s="1"/>
  <c r="L244" i="11" s="1"/>
  <c r="B244" i="15" s="1"/>
  <c r="E246" i="11"/>
  <c r="D245" i="11"/>
  <c r="F245" i="11"/>
  <c r="M245" i="11"/>
  <c r="C245" i="15" s="1"/>
  <c r="T248" i="11"/>
  <c r="U247" i="11"/>
  <c r="C246" i="11"/>
  <c r="N247" i="11" l="1"/>
  <c r="O245" i="11" s="1"/>
  <c r="L245" i="11" s="1"/>
  <c r="B245" i="15" s="1"/>
  <c r="E247" i="11"/>
  <c r="D246" i="11"/>
  <c r="F246" i="11"/>
  <c r="C247" i="11"/>
  <c r="U248" i="11"/>
  <c r="T249" i="11"/>
  <c r="M246" i="11"/>
  <c r="C246" i="15" s="1"/>
  <c r="N248" i="11" l="1"/>
  <c r="O246" i="11" s="1"/>
  <c r="L246" i="11" s="1"/>
  <c r="B246" i="15" s="1"/>
  <c r="E248" i="11"/>
  <c r="D247" i="11"/>
  <c r="F247" i="11"/>
  <c r="C248" i="11"/>
  <c r="T250" i="11"/>
  <c r="U249" i="11"/>
  <c r="M247" i="11"/>
  <c r="C247" i="15" s="1"/>
  <c r="N249" i="11" l="1"/>
  <c r="O247" i="11" s="1"/>
  <c r="L247" i="11" s="1"/>
  <c r="B247" i="15" s="1"/>
  <c r="E249" i="11"/>
  <c r="D248" i="11"/>
  <c r="F248" i="11"/>
  <c r="C249" i="11"/>
  <c r="U250" i="11"/>
  <c r="T251" i="11"/>
  <c r="M248" i="11"/>
  <c r="C248" i="15" s="1"/>
  <c r="N250" i="11" l="1"/>
  <c r="O248" i="11" s="1"/>
  <c r="L248" i="11" s="1"/>
  <c r="B248" i="15" s="1"/>
  <c r="E250" i="11"/>
  <c r="D249" i="11"/>
  <c r="F249" i="11"/>
  <c r="C250" i="11"/>
  <c r="T252" i="11"/>
  <c r="U251" i="11"/>
  <c r="M249" i="11"/>
  <c r="C249" i="15" s="1"/>
  <c r="N251" i="11" l="1"/>
  <c r="O249" i="11" s="1"/>
  <c r="L249" i="11" s="1"/>
  <c r="B249" i="15" s="1"/>
  <c r="E251" i="11"/>
  <c r="D250" i="11"/>
  <c r="F250" i="11"/>
  <c r="C251" i="11"/>
  <c r="U252" i="11"/>
  <c r="T253" i="11"/>
  <c r="M250" i="11"/>
  <c r="C250" i="15" s="1"/>
  <c r="N252" i="11" l="1"/>
  <c r="O250" i="11" s="1"/>
  <c r="L250" i="11" s="1"/>
  <c r="B250" i="15" s="1"/>
  <c r="E252" i="11"/>
  <c r="D251" i="11"/>
  <c r="F251" i="11"/>
  <c r="U253" i="11"/>
  <c r="T254" i="11"/>
  <c r="C252" i="11"/>
  <c r="M251" i="11"/>
  <c r="C251" i="15" s="1"/>
  <c r="N253" i="11" l="1"/>
  <c r="O251" i="11" s="1"/>
  <c r="L251" i="11" s="1"/>
  <c r="B251" i="15" s="1"/>
  <c r="E253" i="11"/>
  <c r="D252" i="11"/>
  <c r="F252" i="11"/>
  <c r="M252" i="11"/>
  <c r="C252" i="15" s="1"/>
  <c r="U254" i="11"/>
  <c r="T255" i="11"/>
  <c r="C253" i="11"/>
  <c r="N254" i="11" l="1"/>
  <c r="O252" i="11" s="1"/>
  <c r="L252" i="11" s="1"/>
  <c r="B252" i="15" s="1"/>
  <c r="E254" i="11"/>
  <c r="D253" i="11"/>
  <c r="F253" i="11"/>
  <c r="T256" i="11"/>
  <c r="U255" i="11"/>
  <c r="C254" i="11"/>
  <c r="M253" i="11"/>
  <c r="C253" i="15" s="1"/>
  <c r="N255" i="11" l="1"/>
  <c r="O253" i="11" s="1"/>
  <c r="L253" i="11" s="1"/>
  <c r="B253" i="15" s="1"/>
  <c r="E255" i="11"/>
  <c r="D254" i="11"/>
  <c r="F254" i="11"/>
  <c r="M254" i="11"/>
  <c r="C254" i="15" s="1"/>
  <c r="C255" i="11"/>
  <c r="T257" i="11"/>
  <c r="U256" i="11"/>
  <c r="N256" i="11" l="1"/>
  <c r="O254" i="11" s="1"/>
  <c r="L254" i="11" s="1"/>
  <c r="B254" i="15" s="1"/>
  <c r="E256" i="11"/>
  <c r="D255" i="11"/>
  <c r="F255" i="11"/>
  <c r="M255" i="11"/>
  <c r="C255" i="15" s="1"/>
  <c r="U257" i="11"/>
  <c r="T258" i="11"/>
  <c r="C256" i="11"/>
  <c r="N257" i="11" l="1"/>
  <c r="O255" i="11" s="1"/>
  <c r="L255" i="11" s="1"/>
  <c r="B255" i="15" s="1"/>
  <c r="E257" i="11"/>
  <c r="D256" i="11"/>
  <c r="F256" i="11"/>
  <c r="M256" i="11"/>
  <c r="C256" i="15" s="1"/>
  <c r="C257" i="11"/>
  <c r="U258" i="11"/>
  <c r="T259" i="11"/>
  <c r="N258" i="11" l="1"/>
  <c r="O256" i="11" s="1"/>
  <c r="L256" i="11" s="1"/>
  <c r="B256" i="15" s="1"/>
  <c r="E258" i="11"/>
  <c r="D257" i="11"/>
  <c r="F257" i="11"/>
  <c r="M257" i="11"/>
  <c r="C257" i="15" s="1"/>
  <c r="T260" i="11"/>
  <c r="U259" i="11"/>
  <c r="C258" i="11"/>
  <c r="N259" i="11" l="1"/>
  <c r="O257" i="11" s="1"/>
  <c r="L257" i="11" s="1"/>
  <c r="B257" i="15" s="1"/>
  <c r="E259" i="11"/>
  <c r="D258" i="11"/>
  <c r="F258" i="11"/>
  <c r="T261" i="11"/>
  <c r="U260" i="11"/>
  <c r="M258" i="11"/>
  <c r="C258" i="15" s="1"/>
  <c r="C259" i="11"/>
  <c r="N260" i="11" l="1"/>
  <c r="O258" i="11" s="1"/>
  <c r="L258" i="11" s="1"/>
  <c r="B258" i="15" s="1"/>
  <c r="E260" i="11"/>
  <c r="D259" i="11"/>
  <c r="F259" i="11"/>
  <c r="M259" i="11"/>
  <c r="C259" i="15" s="1"/>
  <c r="C260" i="11"/>
  <c r="T262" i="11"/>
  <c r="U261" i="11"/>
  <c r="N261" i="11" l="1"/>
  <c r="O259" i="11" s="1"/>
  <c r="L259" i="11" s="1"/>
  <c r="B259" i="15" s="1"/>
  <c r="E261" i="11"/>
  <c r="D260" i="11"/>
  <c r="F260" i="11"/>
  <c r="M260" i="11"/>
  <c r="C260" i="15" s="1"/>
  <c r="T263" i="11"/>
  <c r="U262" i="11"/>
  <c r="C261" i="11"/>
  <c r="N262" i="11" l="1"/>
  <c r="O260" i="11" s="1"/>
  <c r="L260" i="11" s="1"/>
  <c r="B260" i="15" s="1"/>
  <c r="E262" i="11"/>
  <c r="D261" i="11"/>
  <c r="F261" i="11"/>
  <c r="C262" i="11"/>
  <c r="M261" i="11"/>
  <c r="C261" i="15" s="1"/>
  <c r="T264" i="11"/>
  <c r="U263" i="11"/>
  <c r="N263" i="11" l="1"/>
  <c r="O261" i="11" s="1"/>
  <c r="L261" i="11" s="1"/>
  <c r="B261" i="15" s="1"/>
  <c r="E263" i="11"/>
  <c r="D262" i="11"/>
  <c r="F262" i="11"/>
  <c r="C263" i="11"/>
  <c r="T265" i="11"/>
  <c r="U264" i="11"/>
  <c r="M262" i="11"/>
  <c r="C262" i="15" s="1"/>
  <c r="N264" i="11" l="1"/>
  <c r="O262" i="11" s="1"/>
  <c r="L262" i="11" s="1"/>
  <c r="B262" i="15" s="1"/>
  <c r="E264" i="11"/>
  <c r="D263" i="11"/>
  <c r="F263" i="11"/>
  <c r="C264" i="11"/>
  <c r="T266" i="11"/>
  <c r="U265" i="11"/>
  <c r="M263" i="11"/>
  <c r="C263" i="15" s="1"/>
  <c r="N265" i="11" l="1"/>
  <c r="O263" i="11" s="1"/>
  <c r="L263" i="11" s="1"/>
  <c r="B263" i="15" s="1"/>
  <c r="E265" i="11"/>
  <c r="D264" i="11"/>
  <c r="F264" i="11"/>
  <c r="C265" i="11"/>
  <c r="T267" i="11"/>
  <c r="U266" i="11"/>
  <c r="M264" i="11"/>
  <c r="C264" i="15" s="1"/>
  <c r="N266" i="11" l="1"/>
  <c r="O264" i="11" s="1"/>
  <c r="L264" i="11" s="1"/>
  <c r="B264" i="15" s="1"/>
  <c r="E266" i="11"/>
  <c r="D265" i="11"/>
  <c r="F265" i="11"/>
  <c r="C266" i="11"/>
  <c r="T268" i="11"/>
  <c r="U267" i="11"/>
  <c r="M265" i="11"/>
  <c r="C265" i="15" s="1"/>
  <c r="N267" i="11" l="1"/>
  <c r="O265" i="11" s="1"/>
  <c r="L265" i="11" s="1"/>
  <c r="B265" i="15" s="1"/>
  <c r="E267" i="11"/>
  <c r="D266" i="11"/>
  <c r="F266" i="11"/>
  <c r="C267" i="11"/>
  <c r="U268" i="11"/>
  <c r="T269" i="11"/>
  <c r="M266" i="11"/>
  <c r="C266" i="15" s="1"/>
  <c r="N268" i="11" l="1"/>
  <c r="O266" i="11" s="1"/>
  <c r="L266" i="11" s="1"/>
  <c r="B266" i="15" s="1"/>
  <c r="E268" i="11"/>
  <c r="D267" i="11"/>
  <c r="F267" i="11"/>
  <c r="T270" i="11"/>
  <c r="U269" i="11"/>
  <c r="C268" i="11"/>
  <c r="M267" i="11"/>
  <c r="C267" i="15" s="1"/>
  <c r="N269" i="11" l="1"/>
  <c r="O267" i="11" s="1"/>
  <c r="L267" i="11" s="1"/>
  <c r="B267" i="15" s="1"/>
  <c r="E269" i="11"/>
  <c r="D268" i="11"/>
  <c r="F268" i="11"/>
  <c r="M268" i="11"/>
  <c r="C268" i="15" s="1"/>
  <c r="C269" i="11"/>
  <c r="T271" i="11"/>
  <c r="U270" i="11"/>
  <c r="N270" i="11" l="1"/>
  <c r="O268" i="11" s="1"/>
  <c r="L268" i="11" s="1"/>
  <c r="B268" i="15" s="1"/>
  <c r="E270" i="11"/>
  <c r="D269" i="11"/>
  <c r="F269" i="11"/>
  <c r="M269" i="11"/>
  <c r="C269" i="15" s="1"/>
  <c r="C270" i="11"/>
  <c r="T272" i="11"/>
  <c r="U271" i="11"/>
  <c r="N271" i="11" l="1"/>
  <c r="O269" i="11" s="1"/>
  <c r="L269" i="11" s="1"/>
  <c r="B269" i="15" s="1"/>
  <c r="E271" i="11"/>
  <c r="D270" i="11"/>
  <c r="F270" i="11"/>
  <c r="M270" i="11"/>
  <c r="C270" i="15" s="1"/>
  <c r="T273" i="11"/>
  <c r="U272" i="11"/>
  <c r="C271" i="11"/>
  <c r="N272" i="11" l="1"/>
  <c r="O270" i="11" s="1"/>
  <c r="L270" i="11" s="1"/>
  <c r="B270" i="15" s="1"/>
  <c r="E272" i="11"/>
  <c r="D271" i="11"/>
  <c r="F271" i="11"/>
  <c r="M271" i="11"/>
  <c r="C271" i="15" s="1"/>
  <c r="C272" i="11"/>
  <c r="T274" i="11"/>
  <c r="U273" i="11"/>
  <c r="N273" i="11" l="1"/>
  <c r="O271" i="11" s="1"/>
  <c r="L271" i="11" s="1"/>
  <c r="B271" i="15" s="1"/>
  <c r="E273" i="11"/>
  <c r="D272" i="11"/>
  <c r="F272" i="11"/>
  <c r="M272" i="11"/>
  <c r="C272" i="15" s="1"/>
  <c r="C273" i="11"/>
  <c r="T275" i="11"/>
  <c r="U274" i="11"/>
  <c r="N274" i="11" l="1"/>
  <c r="O272" i="11" s="1"/>
  <c r="L272" i="11" s="1"/>
  <c r="B272" i="15" s="1"/>
  <c r="E274" i="11"/>
  <c r="D273" i="11"/>
  <c r="F273" i="11"/>
  <c r="M273" i="11"/>
  <c r="C273" i="15" s="1"/>
  <c r="T276" i="11"/>
  <c r="U275" i="11"/>
  <c r="C274" i="11"/>
  <c r="N275" i="11" l="1"/>
  <c r="O273" i="11" s="1"/>
  <c r="L273" i="11" s="1"/>
  <c r="B273" i="15" s="1"/>
  <c r="E275" i="11"/>
  <c r="D274" i="11"/>
  <c r="F274" i="11"/>
  <c r="T277" i="11"/>
  <c r="U276" i="11"/>
  <c r="M274" i="11"/>
  <c r="C274" i="15" s="1"/>
  <c r="C275" i="11"/>
  <c r="N276" i="11" l="1"/>
  <c r="O274" i="11" s="1"/>
  <c r="L274" i="11" s="1"/>
  <c r="B274" i="15" s="1"/>
  <c r="E276" i="11"/>
  <c r="D275" i="11"/>
  <c r="F275" i="11"/>
  <c r="M275" i="11"/>
  <c r="C275" i="15" s="1"/>
  <c r="C276" i="11"/>
  <c r="U277" i="11"/>
  <c r="T278" i="11"/>
  <c r="N277" i="11" l="1"/>
  <c r="O275" i="11" s="1"/>
  <c r="L275" i="11" s="1"/>
  <c r="B275" i="15" s="1"/>
  <c r="E277" i="11"/>
  <c r="D276" i="11"/>
  <c r="F276" i="11"/>
  <c r="M276" i="11"/>
  <c r="C276" i="15" s="1"/>
  <c r="C277" i="11"/>
  <c r="U278" i="11"/>
  <c r="T279" i="11"/>
  <c r="N278" i="11" l="1"/>
  <c r="O276" i="11" s="1"/>
  <c r="L276" i="11" s="1"/>
  <c r="B276" i="15" s="1"/>
  <c r="E278" i="11"/>
  <c r="D277" i="11"/>
  <c r="F277" i="11"/>
  <c r="M277" i="11"/>
  <c r="C277" i="15" s="1"/>
  <c r="T280" i="11"/>
  <c r="U279" i="11"/>
  <c r="C278" i="11"/>
  <c r="N279" i="11" l="1"/>
  <c r="O277" i="11" s="1"/>
  <c r="L277" i="11" s="1"/>
  <c r="B277" i="15" s="1"/>
  <c r="E279" i="11"/>
  <c r="D278" i="11"/>
  <c r="F278" i="11"/>
  <c r="M278" i="11"/>
  <c r="C278" i="15" s="1"/>
  <c r="C279" i="11"/>
  <c r="T281" i="11"/>
  <c r="U280" i="11"/>
  <c r="N280" i="11" l="1"/>
  <c r="O278" i="11" s="1"/>
  <c r="L278" i="11" s="1"/>
  <c r="B278" i="15" s="1"/>
  <c r="E280" i="11"/>
  <c r="D279" i="11"/>
  <c r="F279" i="11"/>
  <c r="C280" i="11"/>
  <c r="T282" i="11"/>
  <c r="U281" i="11"/>
  <c r="M279" i="11"/>
  <c r="C279" i="15" s="1"/>
  <c r="N281" i="11" l="1"/>
  <c r="O279" i="11" s="1"/>
  <c r="L279" i="11" s="1"/>
  <c r="B279" i="15" s="1"/>
  <c r="E281" i="11"/>
  <c r="D280" i="11"/>
  <c r="F280" i="11"/>
  <c r="C281" i="11"/>
  <c r="U282" i="11"/>
  <c r="N282" i="11" s="1"/>
  <c r="T283" i="11"/>
  <c r="M280" i="11"/>
  <c r="C280" i="15" s="1"/>
  <c r="D281" i="11" l="1"/>
  <c r="F281" i="11"/>
  <c r="O280" i="11"/>
  <c r="L280" i="11" s="1"/>
  <c r="B280" i="15" s="1"/>
  <c r="M282" i="11"/>
  <c r="C282" i="15" s="1"/>
  <c r="T284" i="11"/>
  <c r="U283" i="11"/>
  <c r="N283" i="11" s="1"/>
  <c r="M281" i="11"/>
  <c r="C281" i="15" s="1"/>
  <c r="O281" i="11" l="1"/>
  <c r="L281" i="11" s="1"/>
  <c r="B281" i="15" s="1"/>
  <c r="M283" i="11"/>
  <c r="C283" i="15" s="1"/>
  <c r="T285" i="11"/>
  <c r="U284" i="11"/>
  <c r="N284" i="11" s="1"/>
  <c r="O282" i="11" l="1"/>
  <c r="L282" i="11" s="1"/>
  <c r="B282" i="15" s="1"/>
  <c r="T286" i="11"/>
  <c r="U285" i="11"/>
  <c r="N285" i="11" s="1"/>
  <c r="O283" i="11" l="1"/>
  <c r="L283" i="11" s="1"/>
  <c r="B283" i="15" s="1"/>
  <c r="M284" i="11"/>
  <c r="C284" i="15" s="1"/>
  <c r="T287" i="11"/>
  <c r="U286" i="11"/>
  <c r="N286" i="11" s="1"/>
  <c r="M285" i="11"/>
  <c r="C285" i="15" s="1"/>
  <c r="O284" i="11" l="1"/>
  <c r="L284" i="11" s="1"/>
  <c r="B284" i="15" s="1"/>
  <c r="M286" i="11"/>
  <c r="C286" i="15" s="1"/>
  <c r="T288" i="11"/>
  <c r="U287" i="11"/>
  <c r="N287" i="11" s="1"/>
  <c r="O285" i="11" l="1"/>
  <c r="L285" i="11" s="1"/>
  <c r="B285" i="15" s="1"/>
  <c r="M287" i="11"/>
  <c r="C287" i="15" s="1"/>
  <c r="T289" i="11"/>
  <c r="U288" i="11"/>
  <c r="N288" i="11" s="1"/>
  <c r="O286" i="11" l="1"/>
  <c r="L286" i="11" s="1"/>
  <c r="B286" i="15" s="1"/>
  <c r="U289" i="11"/>
  <c r="N289" i="11" s="1"/>
  <c r="T290" i="11"/>
  <c r="M288" i="11"/>
  <c r="C288" i="15" s="1"/>
  <c r="O287" i="11" l="1"/>
  <c r="L287" i="11" s="1"/>
  <c r="B287" i="15" s="1"/>
  <c r="T291" i="11"/>
  <c r="U290" i="11"/>
  <c r="N290" i="11" s="1"/>
  <c r="M289" i="11"/>
  <c r="C289" i="15" s="1"/>
  <c r="O288" i="11" l="1"/>
  <c r="L288" i="11" s="1"/>
  <c r="B288" i="15" s="1"/>
  <c r="M290" i="11"/>
  <c r="C290" i="15" s="1"/>
  <c r="T292" i="11"/>
  <c r="U291" i="11"/>
  <c r="N291" i="11" s="1"/>
  <c r="O289" i="11" l="1"/>
  <c r="L289" i="11" s="1"/>
  <c r="B289" i="15" s="1"/>
  <c r="T293" i="11"/>
  <c r="U292" i="11"/>
  <c r="N292" i="11" s="1"/>
  <c r="M291" i="11"/>
  <c r="C291" i="15" s="1"/>
  <c r="O290" i="11" l="1"/>
  <c r="L290" i="11" s="1"/>
  <c r="B290" i="15" s="1"/>
  <c r="M292" i="11"/>
  <c r="C292" i="15" s="1"/>
  <c r="T294" i="11"/>
  <c r="U293" i="11"/>
  <c r="N293" i="11" s="1"/>
  <c r="O291" i="11" l="1"/>
  <c r="L291" i="11" s="1"/>
  <c r="B291" i="15" s="1"/>
  <c r="M293" i="11"/>
  <c r="C293" i="15" s="1"/>
  <c r="T295" i="11"/>
  <c r="U294" i="11"/>
  <c r="N294" i="11" s="1"/>
  <c r="O292" i="11" l="1"/>
  <c r="L292" i="11" s="1"/>
  <c r="B292" i="15" s="1"/>
  <c r="M294" i="11"/>
  <c r="C294" i="15" s="1"/>
  <c r="T296" i="11"/>
  <c r="U295" i="11"/>
  <c r="N295" i="11" s="1"/>
  <c r="O293" i="11" l="1"/>
  <c r="L293" i="11" s="1"/>
  <c r="B293" i="15" s="1"/>
  <c r="M295" i="11"/>
  <c r="C295" i="15" s="1"/>
  <c r="U296" i="11"/>
  <c r="N296" i="11" s="1"/>
  <c r="T297" i="11"/>
  <c r="O294" i="11" l="1"/>
  <c r="L294" i="11" s="1"/>
  <c r="B294" i="15" s="1"/>
  <c r="M296" i="11"/>
  <c r="C296" i="15" s="1"/>
  <c r="U297" i="11"/>
  <c r="N297" i="11" s="1"/>
  <c r="T298" i="11"/>
  <c r="O295" i="11" l="1"/>
  <c r="L295" i="11" s="1"/>
  <c r="B295" i="15" s="1"/>
  <c r="M297" i="11"/>
  <c r="C297" i="15" s="1"/>
  <c r="T299" i="11"/>
  <c r="U298" i="11"/>
  <c r="N298" i="11" s="1"/>
  <c r="O296" i="11" l="1"/>
  <c r="L296" i="11" s="1"/>
  <c r="B296" i="15" s="1"/>
  <c r="M298" i="11"/>
  <c r="C298" i="15" s="1"/>
  <c r="T300" i="11"/>
  <c r="U299" i="11"/>
  <c r="N299" i="11" s="1"/>
  <c r="O297" i="11" l="1"/>
  <c r="L297" i="11" s="1"/>
  <c r="B297" i="15" s="1"/>
  <c r="T301" i="11"/>
  <c r="U300" i="11"/>
  <c r="N300" i="11" s="1"/>
  <c r="M299" i="11"/>
  <c r="C299" i="15" s="1"/>
  <c r="O298" i="11" l="1"/>
  <c r="L298" i="11" s="1"/>
  <c r="B298" i="15" s="1"/>
  <c r="M300" i="11"/>
  <c r="C300" i="15" s="1"/>
  <c r="T302" i="11"/>
  <c r="U301" i="11"/>
  <c r="N301" i="11" s="1"/>
  <c r="O299" i="11" l="1"/>
  <c r="L299" i="11" s="1"/>
  <c r="B299" i="15" s="1"/>
  <c r="T303" i="11"/>
  <c r="U302" i="11"/>
  <c r="N302" i="11" s="1"/>
  <c r="M301" i="11"/>
  <c r="C301" i="15" s="1"/>
  <c r="O300" i="11" l="1"/>
  <c r="L300" i="11" s="1"/>
  <c r="B300" i="15" s="1"/>
  <c r="M302" i="11"/>
  <c r="C302" i="15" s="1"/>
  <c r="U303" i="11"/>
  <c r="N303" i="11" s="1"/>
  <c r="T304" i="11"/>
  <c r="O301" i="11" l="1"/>
  <c r="L301" i="11" s="1"/>
  <c r="B301" i="15" s="1"/>
  <c r="M303" i="11"/>
  <c r="C303" i="15" s="1"/>
  <c r="T305" i="11"/>
  <c r="U304" i="11"/>
  <c r="N304" i="11" s="1"/>
  <c r="O302" i="11" l="1"/>
  <c r="L302" i="11" s="1"/>
  <c r="B302" i="15" s="1"/>
  <c r="M304" i="11"/>
  <c r="C304" i="15" s="1"/>
  <c r="U305" i="11"/>
  <c r="N305" i="11" s="1"/>
  <c r="T306" i="11"/>
  <c r="O303" i="11" l="1"/>
  <c r="L303" i="11" s="1"/>
  <c r="B303" i="15" s="1"/>
  <c r="M305" i="11"/>
  <c r="C305" i="15" s="1"/>
  <c r="T307" i="11"/>
  <c r="U306" i="11"/>
  <c r="N306" i="11" s="1"/>
  <c r="O304" i="11" l="1"/>
  <c r="L304" i="11" s="1"/>
  <c r="B304" i="15" s="1"/>
  <c r="M306" i="11"/>
  <c r="C306" i="15" s="1"/>
  <c r="T308" i="11"/>
  <c r="U307" i="11"/>
  <c r="N307" i="11" s="1"/>
  <c r="O305" i="11" l="1"/>
  <c r="L305" i="11" s="1"/>
  <c r="B305" i="15" s="1"/>
  <c r="M307" i="11"/>
  <c r="C307" i="15" s="1"/>
  <c r="T309" i="11"/>
  <c r="U308" i="11"/>
  <c r="N308" i="11" s="1"/>
  <c r="O306" i="11" l="1"/>
  <c r="L306" i="11" s="1"/>
  <c r="B306" i="15" s="1"/>
  <c r="T310" i="11"/>
  <c r="U309" i="11"/>
  <c r="N309" i="11" s="1"/>
  <c r="M308" i="11"/>
  <c r="C308" i="15" s="1"/>
  <c r="O307" i="11" l="1"/>
  <c r="L307" i="11" s="1"/>
  <c r="B307" i="15" s="1"/>
  <c r="M309" i="11"/>
  <c r="C309" i="15" s="1"/>
  <c r="T311" i="11"/>
  <c r="U310" i="11"/>
  <c r="N310" i="11" s="1"/>
  <c r="O308" i="11" l="1"/>
  <c r="L308" i="11" s="1"/>
  <c r="B308" i="15" s="1"/>
  <c r="M310" i="11"/>
  <c r="C310" i="15" s="1"/>
  <c r="T312" i="11"/>
  <c r="U311" i="11"/>
  <c r="N311" i="11" s="1"/>
  <c r="O309" i="11" l="1"/>
  <c r="L309" i="11" s="1"/>
  <c r="B309" i="15" s="1"/>
  <c r="T313" i="11"/>
  <c r="U312" i="11"/>
  <c r="N312" i="11" s="1"/>
  <c r="M311" i="11"/>
  <c r="C311" i="15" s="1"/>
  <c r="O310" i="11" l="1"/>
  <c r="L310" i="11" s="1"/>
  <c r="B310" i="15" s="1"/>
  <c r="M312" i="11"/>
  <c r="C312" i="15" s="1"/>
  <c r="U313" i="11"/>
  <c r="N313" i="11" s="1"/>
  <c r="T314" i="11"/>
  <c r="O311" i="11" l="1"/>
  <c r="L311" i="11" s="1"/>
  <c r="B311" i="15" s="1"/>
  <c r="M313" i="11"/>
  <c r="C313" i="15" s="1"/>
  <c r="T315" i="11"/>
  <c r="U314" i="11"/>
  <c r="N314" i="11" s="1"/>
  <c r="O312" i="11" l="1"/>
  <c r="L312" i="11" s="1"/>
  <c r="B312" i="15" s="1"/>
  <c r="T316" i="11"/>
  <c r="U315" i="11"/>
  <c r="N315" i="11" s="1"/>
  <c r="M314" i="11"/>
  <c r="C314" i="15" s="1"/>
  <c r="O313" i="11" l="1"/>
  <c r="L313" i="11" s="1"/>
  <c r="B313" i="15" s="1"/>
  <c r="M315" i="11"/>
  <c r="C315" i="15" s="1"/>
  <c r="T317" i="11"/>
  <c r="U316" i="11"/>
  <c r="N316" i="11" s="1"/>
  <c r="O314" i="11" l="1"/>
  <c r="L314" i="11" s="1"/>
  <c r="B314" i="15" s="1"/>
  <c r="M316" i="11"/>
  <c r="C316" i="15" s="1"/>
  <c r="U317" i="11"/>
  <c r="N317" i="11" s="1"/>
  <c r="T318" i="11"/>
  <c r="O315" i="11" l="1"/>
  <c r="L315" i="11" s="1"/>
  <c r="B315" i="15" s="1"/>
  <c r="M317" i="11"/>
  <c r="C317" i="15" s="1"/>
  <c r="T319" i="11"/>
  <c r="U318" i="11"/>
  <c r="N318" i="11" s="1"/>
  <c r="O316" i="11" l="1"/>
  <c r="L316" i="11" s="1"/>
  <c r="B316" i="15" s="1"/>
  <c r="T320" i="11"/>
  <c r="U319" i="11"/>
  <c r="N319" i="11" s="1"/>
  <c r="M318" i="11"/>
  <c r="C318" i="15" s="1"/>
  <c r="O317" i="11" l="1"/>
  <c r="L317" i="11" s="1"/>
  <c r="B317" i="15" s="1"/>
  <c r="M319" i="11"/>
  <c r="C319" i="15" s="1"/>
  <c r="T321" i="11"/>
  <c r="U320" i="11"/>
  <c r="N320" i="11" s="1"/>
  <c r="O318" i="11" l="1"/>
  <c r="L318" i="11" s="1"/>
  <c r="B318" i="15" s="1"/>
  <c r="M320" i="11"/>
  <c r="C320" i="15" s="1"/>
  <c r="T322" i="11"/>
  <c r="U321" i="11"/>
  <c r="N321" i="11" s="1"/>
  <c r="O319" i="11" l="1"/>
  <c r="L319" i="11" s="1"/>
  <c r="B319" i="15" s="1"/>
  <c r="M321" i="11"/>
  <c r="C321" i="15" s="1"/>
  <c r="T323" i="11"/>
  <c r="U322" i="11"/>
  <c r="N322" i="11" s="1"/>
  <c r="O320" i="11" l="1"/>
  <c r="L320" i="11" s="1"/>
  <c r="B320" i="15" s="1"/>
  <c r="M322" i="11"/>
  <c r="C322" i="15" s="1"/>
  <c r="T324" i="11"/>
  <c r="U323" i="11"/>
  <c r="N323" i="11" s="1"/>
  <c r="O321" i="11" l="1"/>
  <c r="L321" i="11" s="1"/>
  <c r="B321" i="15" s="1"/>
  <c r="M323" i="11"/>
  <c r="C323" i="15" s="1"/>
  <c r="U324" i="11"/>
  <c r="N324" i="11" s="1"/>
  <c r="T325" i="11"/>
  <c r="O322" i="11" l="1"/>
  <c r="L322" i="11" s="1"/>
  <c r="B322" i="15" s="1"/>
  <c r="T326" i="11"/>
  <c r="U325" i="11"/>
  <c r="N325" i="11" s="1"/>
  <c r="M324" i="11"/>
  <c r="C324" i="15" s="1"/>
  <c r="O323" i="11" l="1"/>
  <c r="L323" i="11" s="1"/>
  <c r="B323" i="15" s="1"/>
  <c r="M325" i="11"/>
  <c r="C325" i="15" s="1"/>
  <c r="T327" i="11"/>
  <c r="U326" i="11"/>
  <c r="N326" i="11" s="1"/>
  <c r="O324" i="11" l="1"/>
  <c r="L324" i="11" s="1"/>
  <c r="B324" i="15" s="1"/>
  <c r="M326" i="11"/>
  <c r="C326" i="15" s="1"/>
  <c r="T328" i="11"/>
  <c r="U327" i="11"/>
  <c r="N327" i="11" s="1"/>
  <c r="O325" i="11" l="1"/>
  <c r="L325" i="11" s="1"/>
  <c r="B325" i="15" s="1"/>
  <c r="M327" i="11"/>
  <c r="C327" i="15" s="1"/>
  <c r="T329" i="11"/>
  <c r="U328" i="11"/>
  <c r="N328" i="11" s="1"/>
  <c r="O326" i="11" l="1"/>
  <c r="L326" i="11" s="1"/>
  <c r="B326" i="15" s="1"/>
  <c r="T330" i="11"/>
  <c r="U329" i="11"/>
  <c r="N329" i="11" s="1"/>
  <c r="M328" i="11"/>
  <c r="C328" i="15" s="1"/>
  <c r="O327" i="11" l="1"/>
  <c r="L327" i="11" s="1"/>
  <c r="B327" i="15" s="1"/>
  <c r="M329" i="11"/>
  <c r="C329" i="15" s="1"/>
  <c r="T331" i="11"/>
  <c r="U330" i="11"/>
  <c r="N330" i="11" s="1"/>
  <c r="O328" i="11" l="1"/>
  <c r="L328" i="11" s="1"/>
  <c r="B328" i="15" s="1"/>
  <c r="T332" i="11"/>
  <c r="U331" i="11"/>
  <c r="N331" i="11" s="1"/>
  <c r="M330" i="11"/>
  <c r="C330" i="15" s="1"/>
  <c r="O329" i="11" l="1"/>
  <c r="L329" i="11" s="1"/>
  <c r="B329" i="15" s="1"/>
  <c r="M331" i="11"/>
  <c r="C331" i="15" s="1"/>
  <c r="T333" i="11"/>
  <c r="U332" i="11"/>
  <c r="N332" i="11" s="1"/>
  <c r="O330" i="11" l="1"/>
  <c r="L330" i="11" s="1"/>
  <c r="B330" i="15" s="1"/>
  <c r="U333" i="11"/>
  <c r="N333" i="11" s="1"/>
  <c r="T334" i="11"/>
  <c r="M332" i="11"/>
  <c r="C332" i="15" s="1"/>
  <c r="O331" i="11" l="1"/>
  <c r="L331" i="11" s="1"/>
  <c r="B331" i="15" s="1"/>
  <c r="U334" i="11"/>
  <c r="N334" i="11" s="1"/>
  <c r="T335" i="11"/>
  <c r="M333" i="11"/>
  <c r="C333" i="15" s="1"/>
  <c r="O332" i="11" l="1"/>
  <c r="L332" i="11" s="1"/>
  <c r="B332" i="15" s="1"/>
  <c r="T336" i="11"/>
  <c r="U335" i="11"/>
  <c r="N335" i="11" s="1"/>
  <c r="M334" i="11"/>
  <c r="C334" i="15" s="1"/>
  <c r="O333" i="11" l="1"/>
  <c r="L333" i="11" s="1"/>
  <c r="B333" i="15" s="1"/>
  <c r="M335" i="11"/>
  <c r="C335" i="15" s="1"/>
  <c r="T337" i="11"/>
  <c r="U336" i="11"/>
  <c r="N336" i="11" s="1"/>
  <c r="O334" i="11" l="1"/>
  <c r="L334" i="11" s="1"/>
  <c r="B334" i="15" s="1"/>
  <c r="T338" i="11"/>
  <c r="U337" i="11"/>
  <c r="N337" i="11" s="1"/>
  <c r="M336" i="11"/>
  <c r="C336" i="15" s="1"/>
  <c r="O335" i="11" l="1"/>
  <c r="L335" i="11" s="1"/>
  <c r="B335" i="15" s="1"/>
  <c r="M337" i="11"/>
  <c r="C337" i="15" s="1"/>
  <c r="U338" i="11"/>
  <c r="N338" i="11" s="1"/>
  <c r="T339" i="11"/>
  <c r="O336" i="11" l="1"/>
  <c r="L336" i="11" s="1"/>
  <c r="B336" i="15" s="1"/>
  <c r="M338" i="11"/>
  <c r="C338" i="15" s="1"/>
  <c r="T340" i="11"/>
  <c r="U339" i="11"/>
  <c r="N339" i="11" s="1"/>
  <c r="O337" i="11" l="1"/>
  <c r="L337" i="11" s="1"/>
  <c r="B337" i="15" s="1"/>
  <c r="M339" i="11"/>
  <c r="C339" i="15" s="1"/>
  <c r="T341" i="11"/>
  <c r="U340" i="11"/>
  <c r="N340" i="11" s="1"/>
  <c r="O338" i="11" l="1"/>
  <c r="L338" i="11" s="1"/>
  <c r="B338" i="15" s="1"/>
  <c r="M340" i="11"/>
  <c r="C340" i="15" s="1"/>
  <c r="T342" i="11"/>
  <c r="U341" i="11"/>
  <c r="N341" i="11" s="1"/>
  <c r="O339" i="11" l="1"/>
  <c r="L339" i="11" s="1"/>
  <c r="B339" i="15" s="1"/>
  <c r="M341" i="11"/>
  <c r="C341" i="15" s="1"/>
  <c r="T343" i="11"/>
  <c r="U342" i="11"/>
  <c r="N342" i="11" s="1"/>
  <c r="O340" i="11" l="1"/>
  <c r="L340" i="11" s="1"/>
  <c r="B340" i="15" s="1"/>
  <c r="M342" i="11"/>
  <c r="C342" i="15" s="1"/>
  <c r="U343" i="11"/>
  <c r="N343" i="11" s="1"/>
  <c r="T344" i="11"/>
  <c r="O341" i="11" l="1"/>
  <c r="L341" i="11" s="1"/>
  <c r="B341" i="15" s="1"/>
  <c r="T345" i="11"/>
  <c r="U344" i="11"/>
  <c r="N344" i="11" s="1"/>
  <c r="M343" i="11"/>
  <c r="C343" i="15" s="1"/>
  <c r="O342" i="11" l="1"/>
  <c r="L342" i="11" s="1"/>
  <c r="B342" i="15" s="1"/>
  <c r="M344" i="11"/>
  <c r="C344" i="15" s="1"/>
  <c r="T346" i="11"/>
  <c r="U345" i="11"/>
  <c r="N345" i="11" s="1"/>
  <c r="O343" i="11" l="1"/>
  <c r="L343" i="11" s="1"/>
  <c r="B343" i="15" s="1"/>
  <c r="M345" i="11"/>
  <c r="C345" i="15" s="1"/>
  <c r="U346" i="11"/>
  <c r="N346" i="11" s="1"/>
  <c r="T347" i="11"/>
  <c r="O344" i="11" l="1"/>
  <c r="L344" i="11" s="1"/>
  <c r="B344" i="15" s="1"/>
  <c r="U347" i="11"/>
  <c r="N347" i="11" s="1"/>
  <c r="T348" i="11"/>
  <c r="M346" i="11"/>
  <c r="C346" i="15" s="1"/>
  <c r="O345" i="11" l="1"/>
  <c r="L345" i="11" s="1"/>
  <c r="B345" i="15" s="1"/>
  <c r="T349" i="11"/>
  <c r="U348" i="11"/>
  <c r="N348" i="11" s="1"/>
  <c r="M347" i="11"/>
  <c r="C347" i="15" s="1"/>
  <c r="O346" i="11" l="1"/>
  <c r="L346" i="11" s="1"/>
  <c r="B346" i="15" s="1"/>
  <c r="M348" i="11"/>
  <c r="C348" i="15" s="1"/>
  <c r="U349" i="11"/>
  <c r="N349" i="11" s="1"/>
  <c r="T350" i="11"/>
  <c r="O347" i="11" l="1"/>
  <c r="L347" i="11" s="1"/>
  <c r="B347" i="15" s="1"/>
  <c r="M349" i="11"/>
  <c r="C349" i="15" s="1"/>
  <c r="T351" i="11"/>
  <c r="U350" i="11"/>
  <c r="N350" i="11" s="1"/>
  <c r="O348" i="11" l="1"/>
  <c r="L348" i="11" s="1"/>
  <c r="B348" i="15" s="1"/>
  <c r="M350" i="11"/>
  <c r="C350" i="15" s="1"/>
  <c r="U351" i="11"/>
  <c r="N351" i="11" s="1"/>
  <c r="T352" i="11"/>
  <c r="O349" i="11" l="1"/>
  <c r="L349" i="11" s="1"/>
  <c r="B349" i="15" s="1"/>
  <c r="T353" i="11"/>
  <c r="U352" i="11"/>
  <c r="N352" i="11" s="1"/>
  <c r="M351" i="11"/>
  <c r="C351" i="15" s="1"/>
  <c r="O350" i="11" l="1"/>
  <c r="L350" i="11" s="1"/>
  <c r="B350" i="15" s="1"/>
  <c r="M352" i="11"/>
  <c r="C352" i="15" s="1"/>
  <c r="T354" i="11"/>
  <c r="U353" i="11"/>
  <c r="N353" i="11" s="1"/>
  <c r="O351" i="11" l="1"/>
  <c r="L351" i="11" s="1"/>
  <c r="B351" i="15" s="1"/>
  <c r="U354" i="11"/>
  <c r="N354" i="11" s="1"/>
  <c r="T355" i="11"/>
  <c r="M353" i="11"/>
  <c r="C353" i="15" s="1"/>
  <c r="O352" i="11" l="1"/>
  <c r="L352" i="11" s="1"/>
  <c r="B352" i="15" s="1"/>
  <c r="T356" i="11"/>
  <c r="U355" i="11"/>
  <c r="N355" i="11" s="1"/>
  <c r="M354" i="11"/>
  <c r="C354" i="15" s="1"/>
  <c r="O353" i="11" l="1"/>
  <c r="L353" i="11" s="1"/>
  <c r="B353" i="15" s="1"/>
  <c r="M355" i="11"/>
  <c r="C355" i="15" s="1"/>
  <c r="T357" i="11"/>
  <c r="U356" i="11"/>
  <c r="N356" i="11" s="1"/>
  <c r="O354" i="11" l="1"/>
  <c r="L354" i="11" s="1"/>
  <c r="B354" i="15" s="1"/>
  <c r="M356" i="11"/>
  <c r="C356" i="15" s="1"/>
  <c r="T358" i="11"/>
  <c r="U357" i="11"/>
  <c r="N357" i="11" s="1"/>
  <c r="O355" i="11" l="1"/>
  <c r="L355" i="11" s="1"/>
  <c r="B355" i="15" s="1"/>
  <c r="U358" i="11"/>
  <c r="N358" i="11" s="1"/>
  <c r="T359" i="11"/>
  <c r="M357" i="11"/>
  <c r="C357" i="15" s="1"/>
  <c r="O356" i="11" l="1"/>
  <c r="L356" i="11" s="1"/>
  <c r="B356" i="15" s="1"/>
  <c r="T360" i="11"/>
  <c r="U359" i="11"/>
  <c r="N359" i="11" s="1"/>
  <c r="M358" i="11"/>
  <c r="C358" i="15" s="1"/>
  <c r="O357" i="11" l="1"/>
  <c r="L357" i="11" s="1"/>
  <c r="B357" i="15" s="1"/>
  <c r="M359" i="11"/>
  <c r="C359" i="15" s="1"/>
  <c r="T361" i="11"/>
  <c r="U360" i="11"/>
  <c r="N360" i="11" s="1"/>
  <c r="O358" i="11" l="1"/>
  <c r="L358" i="11" s="1"/>
  <c r="B358" i="15" s="1"/>
  <c r="M360" i="11"/>
  <c r="C360" i="15" s="1"/>
  <c r="T362" i="11"/>
  <c r="U361" i="11"/>
  <c r="N361" i="11" s="1"/>
  <c r="O359" i="11" l="1"/>
  <c r="L359" i="11" s="1"/>
  <c r="B359" i="15" s="1"/>
  <c r="M361" i="11"/>
  <c r="C361" i="15" s="1"/>
  <c r="T363" i="11"/>
  <c r="U362" i="11"/>
  <c r="N362" i="11" s="1"/>
  <c r="O360" i="11" l="1"/>
  <c r="L360" i="11" s="1"/>
  <c r="B360" i="15" s="1"/>
  <c r="T364" i="11"/>
  <c r="U363" i="11"/>
  <c r="N363" i="11" s="1"/>
  <c r="M362" i="11"/>
  <c r="C362" i="15" s="1"/>
  <c r="O361" i="11" l="1"/>
  <c r="L361" i="11" s="1"/>
  <c r="B361" i="15" s="1"/>
  <c r="M363" i="11"/>
  <c r="C363" i="15" s="1"/>
  <c r="U364" i="11"/>
  <c r="N364" i="11" s="1"/>
  <c r="T365" i="11"/>
  <c r="O362" i="11" l="1"/>
  <c r="L362" i="11" s="1"/>
  <c r="B362" i="15" s="1"/>
  <c r="M364" i="11"/>
  <c r="C364" i="15" s="1"/>
  <c r="U365" i="11"/>
  <c r="N365" i="11" s="1"/>
  <c r="T366" i="11"/>
  <c r="O363" i="11" l="1"/>
  <c r="L363" i="11" s="1"/>
  <c r="B363" i="15" s="1"/>
  <c r="M365" i="11"/>
  <c r="C365" i="15" s="1"/>
  <c r="T367" i="11"/>
  <c r="U366" i="11"/>
  <c r="N366" i="11" s="1"/>
  <c r="O364" i="11" l="1"/>
  <c r="L364" i="11" s="1"/>
  <c r="B364" i="15" s="1"/>
  <c r="M366" i="11"/>
  <c r="C366" i="15" s="1"/>
  <c r="U367" i="11"/>
  <c r="N367" i="11" s="1"/>
  <c r="T368" i="11"/>
  <c r="O365" i="11" l="1"/>
  <c r="L365" i="11" s="1"/>
  <c r="B365" i="15" s="1"/>
  <c r="M367" i="11"/>
  <c r="C367" i="15" s="1"/>
  <c r="T369" i="11"/>
  <c r="U368" i="11"/>
  <c r="N368" i="11" s="1"/>
  <c r="O366" i="11" l="1"/>
  <c r="L366" i="11" s="1"/>
  <c r="B366" i="15" s="1"/>
  <c r="M368" i="11"/>
  <c r="C368" i="15" s="1"/>
  <c r="T370" i="11"/>
  <c r="U369" i="11"/>
  <c r="N369" i="11" s="1"/>
  <c r="O367" i="11" l="1"/>
  <c r="L367" i="11" s="1"/>
  <c r="B367" i="15" s="1"/>
  <c r="T371" i="11"/>
  <c r="U370" i="11"/>
  <c r="N370" i="11" s="1"/>
  <c r="M369" i="11"/>
  <c r="C369" i="15" s="1"/>
  <c r="O368" i="11" l="1"/>
  <c r="L368" i="11" s="1"/>
  <c r="B368" i="15" s="1"/>
  <c r="M370" i="11"/>
  <c r="C370" i="15" s="1"/>
  <c r="T372" i="11"/>
  <c r="U371" i="11"/>
  <c r="N371" i="11" s="1"/>
  <c r="O369" i="11" l="1"/>
  <c r="L369" i="11" s="1"/>
  <c r="B369" i="15" s="1"/>
  <c r="M371" i="11"/>
  <c r="C371" i="15" s="1"/>
  <c r="T373" i="11"/>
  <c r="U372" i="11"/>
  <c r="N372" i="11" s="1"/>
  <c r="O370" i="11" l="1"/>
  <c r="L370" i="11" s="1"/>
  <c r="B370" i="15" s="1"/>
  <c r="M372" i="11"/>
  <c r="C372" i="15" s="1"/>
  <c r="T374" i="11"/>
  <c r="U373" i="11"/>
  <c r="N373" i="11" s="1"/>
  <c r="O371" i="11" l="1"/>
  <c r="L371" i="11" s="1"/>
  <c r="B371" i="15" s="1"/>
  <c r="M373" i="11"/>
  <c r="C373" i="15" s="1"/>
  <c r="T375" i="11"/>
  <c r="U374" i="11"/>
  <c r="N374" i="11" s="1"/>
  <c r="O372" i="11" l="1"/>
  <c r="L372" i="11" s="1"/>
  <c r="B372" i="15" s="1"/>
  <c r="T376" i="11"/>
  <c r="U375" i="11"/>
  <c r="N375" i="11" s="1"/>
  <c r="M374" i="11"/>
  <c r="C374" i="15" s="1"/>
  <c r="O373" i="11" l="1"/>
  <c r="L373" i="11" s="1"/>
  <c r="B373" i="15" s="1"/>
  <c r="M375" i="11"/>
  <c r="C375" i="15" s="1"/>
  <c r="U376" i="11"/>
  <c r="N376" i="11" s="1"/>
  <c r="T377" i="11"/>
  <c r="O374" i="11" l="1"/>
  <c r="L374" i="11" s="1"/>
  <c r="B374" i="15" s="1"/>
  <c r="T378" i="11"/>
  <c r="U377" i="11"/>
  <c r="N377" i="11" s="1"/>
  <c r="M376" i="11"/>
  <c r="C376" i="15" s="1"/>
  <c r="O375" i="11" l="1"/>
  <c r="L375" i="11" s="1"/>
  <c r="B375" i="15" s="1"/>
  <c r="M377" i="11"/>
  <c r="C377" i="15" s="1"/>
  <c r="T379" i="11"/>
  <c r="U378" i="11"/>
  <c r="N378" i="11" s="1"/>
  <c r="O376" i="11" l="1"/>
  <c r="L376" i="11" s="1"/>
  <c r="B376" i="15" s="1"/>
  <c r="M378" i="11"/>
  <c r="C378" i="15" s="1"/>
  <c r="U379" i="11"/>
  <c r="N379" i="11" s="1"/>
  <c r="T380" i="11"/>
  <c r="O377" i="11" l="1"/>
  <c r="L377" i="11" s="1"/>
  <c r="B377" i="15" s="1"/>
  <c r="T381" i="11"/>
  <c r="U380" i="11"/>
  <c r="N380" i="11" s="1"/>
  <c r="M379" i="11"/>
  <c r="C379" i="15" s="1"/>
  <c r="O378" i="11" l="1"/>
  <c r="L378" i="11" s="1"/>
  <c r="B378" i="15" s="1"/>
  <c r="M380" i="11"/>
  <c r="C380" i="15" s="1"/>
  <c r="U381" i="11"/>
  <c r="N381" i="11" s="1"/>
  <c r="T382" i="11"/>
  <c r="O379" i="11" l="1"/>
  <c r="L379" i="11" s="1"/>
  <c r="B379" i="15" s="1"/>
  <c r="T383" i="11"/>
  <c r="U382" i="11"/>
  <c r="N382" i="11" s="1"/>
  <c r="M381" i="11"/>
  <c r="C381" i="15" s="1"/>
  <c r="O380" i="11" l="1"/>
  <c r="L380" i="11" s="1"/>
  <c r="B380" i="15" s="1"/>
  <c r="M382" i="11"/>
  <c r="C382" i="15" s="1"/>
  <c r="U383" i="11"/>
  <c r="N383" i="11" s="1"/>
  <c r="T384" i="11"/>
  <c r="O381" i="11" l="1"/>
  <c r="L381" i="11" s="1"/>
  <c r="B381" i="15" s="1"/>
  <c r="T385" i="11"/>
  <c r="U384" i="11"/>
  <c r="N384" i="11" s="1"/>
  <c r="M383" i="11"/>
  <c r="C383" i="15" s="1"/>
  <c r="O382" i="11" l="1"/>
  <c r="L382" i="11" s="1"/>
  <c r="B382" i="15" s="1"/>
  <c r="M384" i="11"/>
  <c r="C384" i="15" s="1"/>
  <c r="T386" i="11"/>
  <c r="U385" i="11"/>
  <c r="N385" i="11" s="1"/>
  <c r="O383" i="11" l="1"/>
  <c r="L383" i="11" s="1"/>
  <c r="B383" i="15" s="1"/>
  <c r="M385" i="11"/>
  <c r="C385" i="15" s="1"/>
  <c r="U386" i="11"/>
  <c r="N386" i="11" s="1"/>
  <c r="T387" i="11"/>
  <c r="O384" i="11" l="1"/>
  <c r="L384" i="11" s="1"/>
  <c r="B384" i="15" s="1"/>
  <c r="M386" i="11"/>
  <c r="C386" i="15" s="1"/>
  <c r="T388" i="11"/>
  <c r="U387" i="11"/>
  <c r="N387" i="11" s="1"/>
  <c r="O385" i="11" l="1"/>
  <c r="L385" i="11" s="1"/>
  <c r="B385" i="15" s="1"/>
  <c r="M387" i="11"/>
  <c r="C387" i="15" s="1"/>
  <c r="U388" i="11"/>
  <c r="N388" i="11" s="1"/>
  <c r="T389" i="11"/>
  <c r="O386" i="11" l="1"/>
  <c r="L386" i="11" s="1"/>
  <c r="B386" i="15" s="1"/>
  <c r="T390" i="11"/>
  <c r="U389" i="11"/>
  <c r="N389" i="11" s="1"/>
  <c r="M388" i="11"/>
  <c r="C388" i="15" s="1"/>
  <c r="O387" i="11" l="1"/>
  <c r="L387" i="11" s="1"/>
  <c r="B387" i="15" s="1"/>
  <c r="M389" i="11"/>
  <c r="C389" i="15" s="1"/>
  <c r="U390" i="11"/>
  <c r="N390" i="11" s="1"/>
  <c r="T391" i="11"/>
  <c r="O388" i="11" l="1"/>
  <c r="L388" i="11" s="1"/>
  <c r="B388" i="15" s="1"/>
  <c r="T392" i="11"/>
  <c r="U391" i="11"/>
  <c r="N391" i="11" s="1"/>
  <c r="M390" i="11"/>
  <c r="C390" i="15" s="1"/>
  <c r="O389" i="11" l="1"/>
  <c r="L389" i="11" s="1"/>
  <c r="B389" i="15" s="1"/>
  <c r="M391" i="11"/>
  <c r="C391" i="15" s="1"/>
  <c r="U392" i="11"/>
  <c r="N392" i="11" s="1"/>
  <c r="T393" i="11"/>
  <c r="O390" i="11" l="1"/>
  <c r="L390" i="11" s="1"/>
  <c r="B390" i="15" s="1"/>
  <c r="T394" i="11"/>
  <c r="U393" i="11"/>
  <c r="N393" i="11" s="1"/>
  <c r="M392" i="11"/>
  <c r="C392" i="15" s="1"/>
  <c r="O391" i="11" l="1"/>
  <c r="L391" i="11" s="1"/>
  <c r="B391" i="15" s="1"/>
  <c r="M393" i="11"/>
  <c r="C393" i="15" s="1"/>
  <c r="T395" i="11"/>
  <c r="U394" i="11"/>
  <c r="N394" i="11" s="1"/>
  <c r="O392" i="11" l="1"/>
  <c r="L392" i="11" s="1"/>
  <c r="B392" i="15" s="1"/>
  <c r="T396" i="11"/>
  <c r="U395" i="11"/>
  <c r="N395" i="11" s="1"/>
  <c r="M394" i="11"/>
  <c r="C394" i="15" s="1"/>
  <c r="O393" i="11" l="1"/>
  <c r="L393" i="11" s="1"/>
  <c r="B393" i="15" s="1"/>
  <c r="M395" i="11"/>
  <c r="C395" i="15" s="1"/>
  <c r="T397" i="11"/>
  <c r="U396" i="11"/>
  <c r="N396" i="11" s="1"/>
  <c r="O394" i="11" l="1"/>
  <c r="L394" i="11" s="1"/>
  <c r="B394" i="15" s="1"/>
  <c r="M396" i="11"/>
  <c r="C396" i="15" s="1"/>
  <c r="T398" i="11"/>
  <c r="U397" i="11"/>
  <c r="N397" i="11" s="1"/>
  <c r="O395" i="11" l="1"/>
  <c r="L395" i="11" s="1"/>
  <c r="B395" i="15" s="1"/>
  <c r="M397" i="11"/>
  <c r="C397" i="15" s="1"/>
  <c r="T399" i="11"/>
  <c r="U398" i="11"/>
  <c r="N398" i="11" s="1"/>
  <c r="O396" i="11" l="1"/>
  <c r="L396" i="11" s="1"/>
  <c r="B396" i="15" s="1"/>
  <c r="U399" i="11"/>
  <c r="N399" i="11" s="1"/>
  <c r="T400" i="11"/>
  <c r="M398" i="11"/>
  <c r="C398" i="15" s="1"/>
  <c r="O397" i="11" l="1"/>
  <c r="L397" i="11" s="1"/>
  <c r="B397" i="15" s="1"/>
  <c r="U400" i="11"/>
  <c r="N400" i="11" s="1"/>
  <c r="T401" i="11"/>
  <c r="M399" i="11"/>
  <c r="C399" i="15" s="1"/>
  <c r="O398" i="11" l="1"/>
  <c r="L398" i="11" s="1"/>
  <c r="B398" i="15" s="1"/>
  <c r="T402" i="11"/>
  <c r="U401" i="11"/>
  <c r="N401" i="11" s="1"/>
  <c r="M400" i="11"/>
  <c r="C400" i="15" s="1"/>
  <c r="O399" i="11" l="1"/>
  <c r="L399" i="11" s="1"/>
  <c r="B399" i="15" s="1"/>
  <c r="M401" i="11"/>
  <c r="C401" i="15" s="1"/>
  <c r="U402" i="11"/>
  <c r="N402" i="11" s="1"/>
  <c r="T403" i="11"/>
  <c r="O400" i="11" l="1"/>
  <c r="L400" i="11" s="1"/>
  <c r="B400" i="15" s="1"/>
  <c r="U403" i="11"/>
  <c r="N403" i="11" s="1"/>
  <c r="T404" i="11"/>
  <c r="M402" i="11"/>
  <c r="O401" i="11" l="1"/>
  <c r="L401" i="11" s="1"/>
  <c r="B401" i="15" s="1"/>
  <c r="U404" i="11"/>
  <c r="N404" i="11" s="1"/>
  <c r="T405" i="11"/>
  <c r="M403" i="11"/>
  <c r="O402" i="11" l="1"/>
  <c r="L402" i="11" s="1"/>
  <c r="U405" i="11"/>
  <c r="N405" i="11" s="1"/>
  <c r="T406" i="11"/>
  <c r="M404" i="11"/>
  <c r="O403" i="11" l="1"/>
  <c r="L403" i="11" s="1"/>
  <c r="U406" i="11"/>
  <c r="N406" i="11" s="1"/>
  <c r="T407" i="11"/>
  <c r="M405" i="11"/>
  <c r="O404" i="11" l="1"/>
  <c r="L404" i="11" s="1"/>
  <c r="T408" i="11"/>
  <c r="U407" i="11"/>
  <c r="N407" i="11" s="1"/>
  <c r="M406" i="11"/>
  <c r="O405" i="11" l="1"/>
  <c r="L405" i="11" s="1"/>
  <c r="M407" i="11"/>
  <c r="T409" i="11"/>
  <c r="U408" i="11"/>
  <c r="N408" i="11" s="1"/>
  <c r="O406" i="11" l="1"/>
  <c r="L406" i="11" s="1"/>
  <c r="M408" i="11"/>
  <c r="T410" i="11"/>
  <c r="U409" i="11"/>
  <c r="N409" i="11" s="1"/>
  <c r="O407" i="11" l="1"/>
  <c r="L407" i="11" s="1"/>
  <c r="M409" i="11"/>
  <c r="T411" i="11"/>
  <c r="U410" i="11"/>
  <c r="N410" i="11" s="1"/>
  <c r="O408" i="11" l="1"/>
  <c r="L408" i="11" s="1"/>
  <c r="M410" i="11"/>
  <c r="T412" i="11"/>
  <c r="U411" i="11"/>
  <c r="N411" i="11" s="1"/>
  <c r="O409" i="11" l="1"/>
  <c r="L409" i="11" s="1"/>
  <c r="M411" i="11"/>
  <c r="T413" i="11"/>
  <c r="U412" i="11"/>
  <c r="N412" i="11" s="1"/>
  <c r="O410" i="11" l="1"/>
  <c r="L410" i="11" s="1"/>
  <c r="T414" i="11"/>
  <c r="U413" i="11"/>
  <c r="N413" i="11" s="1"/>
  <c r="M412" i="11"/>
  <c r="O411" i="11" l="1"/>
  <c r="L411" i="11" s="1"/>
  <c r="M413" i="11"/>
  <c r="U414" i="11"/>
  <c r="N414" i="11" s="1"/>
  <c r="T415" i="11"/>
  <c r="O412" i="11" l="1"/>
  <c r="L412" i="11" s="1"/>
  <c r="M414" i="11"/>
  <c r="U415" i="11"/>
  <c r="N415" i="11" s="1"/>
  <c r="T416" i="11"/>
  <c r="O413" i="11" l="1"/>
  <c r="L413" i="11" s="1"/>
  <c r="M415" i="11"/>
  <c r="T417" i="11"/>
  <c r="U416" i="11"/>
  <c r="N416" i="11" s="1"/>
  <c r="O414" i="11" l="1"/>
  <c r="L414" i="11" s="1"/>
  <c r="M416" i="11"/>
  <c r="T418" i="11"/>
  <c r="U417" i="11"/>
  <c r="N417" i="11" s="1"/>
  <c r="O415" i="11" l="1"/>
  <c r="L415" i="11" s="1"/>
  <c r="M417" i="11"/>
  <c r="U418" i="11"/>
  <c r="N418" i="11" s="1"/>
  <c r="T419" i="11"/>
  <c r="O416" i="11" l="1"/>
  <c r="L416" i="11" s="1"/>
  <c r="M418" i="11"/>
  <c r="T420" i="11"/>
  <c r="U419" i="11"/>
  <c r="N419" i="11" s="1"/>
  <c r="O417" i="11" l="1"/>
  <c r="L417" i="11" s="1"/>
  <c r="T421" i="11"/>
  <c r="U420" i="11"/>
  <c r="N420" i="11" s="1"/>
  <c r="M419" i="11"/>
  <c r="O418" i="11" l="1"/>
  <c r="L418" i="11" s="1"/>
  <c r="M420" i="11"/>
  <c r="T422" i="11"/>
  <c r="U421" i="11"/>
  <c r="N421" i="11" s="1"/>
  <c r="O419" i="11" l="1"/>
  <c r="L419" i="11" s="1"/>
  <c r="U422" i="11"/>
  <c r="N422" i="11" s="1"/>
  <c r="T423" i="11"/>
  <c r="M421" i="11"/>
  <c r="O420" i="11" l="1"/>
  <c r="L420" i="11" s="1"/>
  <c r="T424" i="11"/>
  <c r="U423" i="11"/>
  <c r="N423" i="11" s="1"/>
  <c r="M422" i="11"/>
  <c r="O421" i="11" l="1"/>
  <c r="L421" i="11" s="1"/>
  <c r="M423" i="11"/>
  <c r="T425" i="11"/>
  <c r="U424" i="11"/>
  <c r="N424" i="11" s="1"/>
  <c r="O422" i="11" l="1"/>
  <c r="L422" i="11" s="1"/>
  <c r="M424" i="11"/>
  <c r="T426" i="11"/>
  <c r="U425" i="11"/>
  <c r="N425" i="11" s="1"/>
  <c r="O423" i="11" l="1"/>
  <c r="L423" i="11" s="1"/>
  <c r="M425" i="11"/>
  <c r="U426" i="11"/>
  <c r="N426" i="11" s="1"/>
  <c r="T427" i="11"/>
  <c r="O424" i="11" l="1"/>
  <c r="L424" i="11" s="1"/>
  <c r="T428" i="11"/>
  <c r="U427" i="11"/>
  <c r="N427" i="11" s="1"/>
  <c r="M426" i="11"/>
  <c r="O425" i="11" l="1"/>
  <c r="L425" i="11" s="1"/>
  <c r="M427" i="11"/>
  <c r="U428" i="11"/>
  <c r="N428" i="11" s="1"/>
  <c r="T429" i="11"/>
  <c r="O426" i="11" l="1"/>
  <c r="L426" i="11" s="1"/>
  <c r="T430" i="11"/>
  <c r="U429" i="11"/>
  <c r="N429" i="11" s="1"/>
  <c r="M428" i="11"/>
  <c r="O427" i="11" l="1"/>
  <c r="L427" i="11" s="1"/>
  <c r="M429" i="11"/>
  <c r="U430" i="11"/>
  <c r="N430" i="11" s="1"/>
  <c r="T431" i="11"/>
  <c r="O428" i="11" l="1"/>
  <c r="L428" i="11" s="1"/>
  <c r="T432" i="11"/>
  <c r="U431" i="11"/>
  <c r="N431" i="11" s="1"/>
  <c r="M430" i="11"/>
  <c r="O429" i="11" l="1"/>
  <c r="L429" i="11" s="1"/>
  <c r="M431" i="11"/>
  <c r="U432" i="11"/>
  <c r="N432" i="11" s="1"/>
  <c r="T433" i="11"/>
  <c r="O430" i="11" l="1"/>
  <c r="L430" i="11" s="1"/>
  <c r="T434" i="11"/>
  <c r="U433" i="11"/>
  <c r="N433" i="11" s="1"/>
  <c r="M432" i="11"/>
  <c r="O431" i="11" l="1"/>
  <c r="L431" i="11" s="1"/>
  <c r="M433" i="11"/>
  <c r="U434" i="11"/>
  <c r="N434" i="11" s="1"/>
  <c r="T435" i="11"/>
  <c r="O432" i="11" l="1"/>
  <c r="L432" i="11" s="1"/>
  <c r="T436" i="11"/>
  <c r="U435" i="11"/>
  <c r="N435" i="11" s="1"/>
  <c r="M434" i="11"/>
  <c r="O433" i="11" l="1"/>
  <c r="L433" i="11" s="1"/>
  <c r="M435" i="11"/>
  <c r="T437" i="11"/>
  <c r="U436" i="11"/>
  <c r="N436" i="11" s="1"/>
  <c r="O434" i="11" l="1"/>
  <c r="L434" i="11" s="1"/>
  <c r="M436" i="11"/>
  <c r="T438" i="11"/>
  <c r="U437" i="11"/>
  <c r="N437" i="11" s="1"/>
  <c r="O435" i="11" l="1"/>
  <c r="L435" i="11" s="1"/>
  <c r="M437" i="11"/>
  <c r="U438" i="11"/>
  <c r="N438" i="11" s="1"/>
  <c r="T439" i="11"/>
  <c r="O436" i="11" l="1"/>
  <c r="L436" i="11" s="1"/>
  <c r="T440" i="11"/>
  <c r="U439" i="11"/>
  <c r="N439" i="11" s="1"/>
  <c r="M438" i="11"/>
  <c r="O437" i="11" l="1"/>
  <c r="L437" i="11" s="1"/>
  <c r="M439" i="11"/>
  <c r="T441" i="11"/>
  <c r="U440" i="11"/>
  <c r="N440" i="11" s="1"/>
  <c r="O438" i="11" l="1"/>
  <c r="L438" i="11" s="1"/>
  <c r="M440" i="11"/>
  <c r="T442" i="11"/>
  <c r="U441" i="11"/>
  <c r="N441" i="11" s="1"/>
  <c r="O439" i="11" l="1"/>
  <c r="L439" i="11" s="1"/>
  <c r="U442" i="11"/>
  <c r="N442" i="11" s="1"/>
  <c r="T443" i="11"/>
  <c r="M441" i="11"/>
  <c r="O440" i="11" l="1"/>
  <c r="L440" i="11" s="1"/>
  <c r="T444" i="11"/>
  <c r="U443" i="11"/>
  <c r="N443" i="11" s="1"/>
  <c r="M442" i="11"/>
  <c r="O441" i="11" l="1"/>
  <c r="L441" i="11" s="1"/>
  <c r="M443" i="11"/>
  <c r="T445" i="11"/>
  <c r="U444" i="11"/>
  <c r="N444" i="11" s="1"/>
  <c r="O442" i="11" l="1"/>
  <c r="L442" i="11" s="1"/>
  <c r="M444" i="11"/>
  <c r="T446" i="11"/>
  <c r="U445" i="11"/>
  <c r="N445" i="11" s="1"/>
  <c r="O443" i="11" l="1"/>
  <c r="L443" i="11" s="1"/>
  <c r="M445" i="11"/>
  <c r="T447" i="11"/>
  <c r="U446" i="11"/>
  <c r="N446" i="11" s="1"/>
  <c r="O444" i="11" l="1"/>
  <c r="L444" i="11" s="1"/>
  <c r="T448" i="11"/>
  <c r="U447" i="11"/>
  <c r="N447" i="11" s="1"/>
  <c r="M446" i="11"/>
  <c r="O445" i="11" l="1"/>
  <c r="L445" i="11" s="1"/>
  <c r="M447" i="11"/>
  <c r="T449" i="11"/>
  <c r="U448" i="11"/>
  <c r="N448" i="11" s="1"/>
  <c r="O446" i="11" l="1"/>
  <c r="L446" i="11" s="1"/>
  <c r="T450" i="11"/>
  <c r="U449" i="11"/>
  <c r="N449" i="11" s="1"/>
  <c r="M448" i="11"/>
  <c r="O447" i="11" l="1"/>
  <c r="L447" i="11" s="1"/>
  <c r="M449" i="11"/>
  <c r="U451" i="11"/>
  <c r="N451" i="11" s="1"/>
  <c r="O450" i="11" s="1"/>
  <c r="U450" i="11"/>
  <c r="N450" i="11" s="1"/>
  <c r="O449" i="11" l="1"/>
  <c r="L449" i="11" s="1"/>
  <c r="O448" i="11"/>
  <c r="L448" i="11" s="1"/>
  <c r="L451" i="11"/>
  <c r="L450" i="11"/>
  <c r="M450" i="11"/>
  <c r="M451" i="11"/>
</calcChain>
</file>

<file path=xl/sharedStrings.xml><?xml version="1.0" encoding="utf-8"?>
<sst xmlns="http://schemas.openxmlformats.org/spreadsheetml/2006/main" count="138" uniqueCount="102">
  <si>
    <t>SELECCIONE FORMA</t>
  </si>
  <si>
    <t>SELECCIONE RUT</t>
  </si>
  <si>
    <t>ALUMNO</t>
  </si>
  <si>
    <t>FORMA</t>
  </si>
  <si>
    <t>RUT</t>
  </si>
  <si>
    <t>FORMA 01</t>
  </si>
  <si>
    <t>BUSTAMANTE BAEZ , JAVIERA ALEJANDRA</t>
  </si>
  <si>
    <t>FORMA 02</t>
  </si>
  <si>
    <t>BUSTAMANTE VENEGAS , ARACELY JEANNETTE</t>
  </si>
  <si>
    <t>FORMA 03</t>
  </si>
  <si>
    <t>CANDIA OLIVARES , JAVIER ANDRÉS</t>
  </si>
  <si>
    <t>FORMA 04</t>
  </si>
  <si>
    <t>CASTILLO MORENO , BÁRBARA CONSTANZA</t>
  </si>
  <si>
    <t>FORMA 05</t>
  </si>
  <si>
    <t>CAÑAS CAÑAS , FRANCISCO IGNACIO</t>
  </si>
  <si>
    <t>FORMA 06</t>
  </si>
  <si>
    <t>DÍAZ CONTRERAS , PAULA JAVIERA</t>
  </si>
  <si>
    <t>FORMA 07</t>
  </si>
  <si>
    <t>GALLARDO SILVA , MAURICIO ANDRÉS*</t>
  </si>
  <si>
    <t>FORMA 08</t>
  </si>
  <si>
    <t>LASTRA FUENTES , YARITZA NICOLE</t>
  </si>
  <si>
    <t>FORMA 09</t>
  </si>
  <si>
    <t>MONTECINO ALTAMIRANO , RODOLFO ANTONIO</t>
  </si>
  <si>
    <t>FORMA 10</t>
  </si>
  <si>
    <t>MOREIRA SOCORRO , PAOLO</t>
  </si>
  <si>
    <t>FORMA 11</t>
  </si>
  <si>
    <t>MOYA JUSTO , PIERA RENATTA*</t>
  </si>
  <si>
    <t>FORMA 12</t>
  </si>
  <si>
    <t>MUNOZ MARTINEZ , NICOLE SOLANGE</t>
  </si>
  <si>
    <t>FORMA 13</t>
  </si>
  <si>
    <t>NECULQUEO AGUAYO , VERÓNICA ISABEL</t>
  </si>
  <si>
    <t>FORMA 14</t>
  </si>
  <si>
    <t>ORTIZ ASTORGA , NATALIA ALEJANDRA</t>
  </si>
  <si>
    <t>FORMA 15</t>
  </si>
  <si>
    <t>PIZARRO SÁEZ , MARÍA JOSÉ ARLETTE</t>
  </si>
  <si>
    <t>FORMA 16</t>
  </si>
  <si>
    <t>PLAZA BECERRA , CARLOS DANILO</t>
  </si>
  <si>
    <t>FORMA 17</t>
  </si>
  <si>
    <t>RAMÍREZ FLORES , KATHERINE STEPHANIE</t>
  </si>
  <si>
    <t>FORMA 18</t>
  </si>
  <si>
    <t>ROJAS GAMBOA , VANESSA KATHERINE</t>
  </si>
  <si>
    <t>FORMA 19</t>
  </si>
  <si>
    <t>EXTRA</t>
  </si>
  <si>
    <t>Id</t>
  </si>
  <si>
    <t>ID</t>
  </si>
  <si>
    <t>GENERO</t>
  </si>
  <si>
    <t>ESTABLECIMIENTO</t>
  </si>
  <si>
    <t>PUNTAJE</t>
  </si>
  <si>
    <t>REMUNERACIÓN</t>
  </si>
  <si>
    <t>INTEG</t>
  </si>
  <si>
    <t>CODIGO</t>
  </si>
  <si>
    <t>GÉNERO</t>
  </si>
  <si>
    <t>MASCULINO</t>
  </si>
  <si>
    <t>FEMENINO</t>
  </si>
  <si>
    <t>A</t>
  </si>
  <si>
    <t>B</t>
  </si>
  <si>
    <t>Indicador</t>
  </si>
  <si>
    <t>Puntaje</t>
  </si>
  <si>
    <t>Promedio</t>
  </si>
  <si>
    <t>Género</t>
  </si>
  <si>
    <t>Cantidad de estudiantes</t>
  </si>
  <si>
    <t>Porcentaje</t>
  </si>
  <si>
    <t>Mediana</t>
  </si>
  <si>
    <t>Moda</t>
  </si>
  <si>
    <t>Total</t>
  </si>
  <si>
    <t>General</t>
  </si>
  <si>
    <t>Mínimo</t>
  </si>
  <si>
    <t>Desviación estándar</t>
  </si>
  <si>
    <t>Q1 (25%)</t>
  </si>
  <si>
    <t>Rango</t>
  </si>
  <si>
    <t>Q2 (50%)</t>
  </si>
  <si>
    <t>Rango Intercuartil</t>
  </si>
  <si>
    <t>Q3 (75%)</t>
  </si>
  <si>
    <t>Coeficiente de variación</t>
  </si>
  <si>
    <t>Máximo</t>
  </si>
  <si>
    <t>Promedio Puntaje (Masculino)</t>
  </si>
  <si>
    <t>Promedio Puntaje (Femenino)</t>
  </si>
  <si>
    <t>U. DE CONCEPCIÓN</t>
  </si>
  <si>
    <t>REGIÓN</t>
  </si>
  <si>
    <t>Región del Bío-Bío</t>
  </si>
  <si>
    <t>Región de Ñuble</t>
  </si>
  <si>
    <t>FORMA 20</t>
  </si>
  <si>
    <t>FORMA 21</t>
  </si>
  <si>
    <t>FORMA 22</t>
  </si>
  <si>
    <t>FORMA 23</t>
  </si>
  <si>
    <t>FORMA 24</t>
  </si>
  <si>
    <t>FORMA 25</t>
  </si>
  <si>
    <t>FORMA 26</t>
  </si>
  <si>
    <t>FORMA 27</t>
  </si>
  <si>
    <t>FORMA 28</t>
  </si>
  <si>
    <t>FORMA 29</t>
  </si>
  <si>
    <t>FORMA 30</t>
  </si>
  <si>
    <t>RAULÍ</t>
  </si>
  <si>
    <t>ROBLE</t>
  </si>
  <si>
    <t>ESPECIE</t>
  </si>
  <si>
    <t>ESPECIE NATIVA</t>
  </si>
  <si>
    <t>HUALO</t>
  </si>
  <si>
    <t>SECTOR</t>
  </si>
  <si>
    <t>ALTOS DEL LIRCAY</t>
  </si>
  <si>
    <t>CAMINO ENLADRILLADO</t>
  </si>
  <si>
    <t>PEINE</t>
  </si>
  <si>
    <t>Para desbloquear esta hoja vaya a la pestaña REVISAR y elija la opción DESPROTEGER 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</si>
</sst>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2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5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DISTRIBUCIÓN DE ESTUDIANTES SEGÚN GÉNERO</a:t>
            </a:r>
          </a:p>
          <a:p>
            <a:pPr>
              <a:defRPr/>
            </a:pPr>
            <a:r>
              <a:rPr lang="es-ES_tradnl"/>
              <a:t>ESCUELA ROMANA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'romana 2'!$Z$4</c:f>
              <c:strCache>
                <c:ptCount val="1"/>
                <c:pt idx="0">
                  <c:v>Cantidad de estudiantes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F3-5948-9AD4-52260A16CB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F3-5948-9AD4-52260A16CBE2}"/>
              </c:ext>
            </c:extLst>
          </c:dPt>
          <c:dLbls>
            <c:dLbl>
              <c:idx val="0"/>
              <c:layout>
                <c:manualLayout>
                  <c:x val="1.3242778614937284E-2"/>
                  <c:y val="-0.1294050743657042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F3-5948-9AD4-52260A16CBE2}"/>
                </c:ext>
              </c:extLst>
            </c:dLbl>
            <c:dLbl>
              <c:idx val="1"/>
              <c:layout>
                <c:manualLayout>
                  <c:x val="-3.5481673281405862E-2"/>
                  <c:y val="-5.235272674249052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F3-5948-9AD4-52260A16CBE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'romana 2'!$Y$5:$Y$6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'romana 2'!$Z$5:$Z$6</c:f>
              <c:numCache>
                <c:formatCode>General</c:formatCode>
                <c:ptCount val="2"/>
                <c:pt idx="0">
                  <c:v>76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3-5948-9AD4-52260A16C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HISTOGRAMA</a:t>
            </a:r>
            <a:r>
              <a:rPr lang="es-ES_tradnl" baseline="0"/>
              <a:t> DE PUNTAJES PRUEBA DE INGRESO</a:t>
            </a:r>
          </a:p>
          <a:p>
            <a:pPr>
              <a:defRPr/>
            </a:pPr>
            <a:r>
              <a:rPr lang="es-ES_tradnl" baseline="0"/>
              <a:t>ESCUELA ROMANA</a:t>
            </a:r>
            <a:endParaRPr lang="es-ES_trad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'romana 2'!$X$29:$X$38</c:f>
              <c:strCache>
                <c:ptCount val="10"/>
                <c:pt idx="0">
                  <c:v>( 0 - 100 ]</c:v>
                </c:pt>
                <c:pt idx="1">
                  <c:v>( 100 - 200 ]</c:v>
                </c:pt>
                <c:pt idx="2">
                  <c:v>( 200 - 300 ]</c:v>
                </c:pt>
                <c:pt idx="3">
                  <c:v>( 300 - 400 ]</c:v>
                </c:pt>
                <c:pt idx="4">
                  <c:v>( 400 - 500 ]</c:v>
                </c:pt>
                <c:pt idx="5">
                  <c:v>( 500 - 600 ]</c:v>
                </c:pt>
                <c:pt idx="6">
                  <c:v>( 600 - 700 ]</c:v>
                </c:pt>
                <c:pt idx="7">
                  <c:v>( 700 - 800 ]</c:v>
                </c:pt>
                <c:pt idx="8">
                  <c:v>( 800 - 900 ]</c:v>
                </c:pt>
                <c:pt idx="9">
                  <c:v>( 900 - 1000 ]</c:v>
                </c:pt>
              </c:strCache>
            </c:strRef>
          </c:cat>
          <c:val>
            <c:numRef>
              <c:f>'romana 2'!$Y$29:$Y$38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22</c:v>
                </c:pt>
                <c:pt idx="3">
                  <c:v>21</c:v>
                </c:pt>
                <c:pt idx="4">
                  <c:v>28</c:v>
                </c:pt>
                <c:pt idx="5">
                  <c:v>18</c:v>
                </c:pt>
                <c:pt idx="6">
                  <c:v>16</c:v>
                </c:pt>
                <c:pt idx="7">
                  <c:v>16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4-784C-B7C1-C1682673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742915824"/>
        <c:axId val="1742916624"/>
      </c:barChart>
      <c:catAx>
        <c:axId val="174291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RANGO DE PUNTAJES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42916624"/>
        <c:crosses val="autoZero"/>
        <c:auto val="1"/>
        <c:lblAlgn val="ctr"/>
        <c:lblOffset val="100"/>
        <c:noMultiLvlLbl val="0"/>
      </c:catAx>
      <c:valAx>
        <c:axId val="1742916624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CANTIDAD DE 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4291582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BOXPLOT PUNTAJE PRUEBA DE ADMISIÓN</a:t>
            </a:r>
          </a:p>
          <a:p>
            <a:pPr algn="ctr" rtl="0">
              <a:defRPr/>
            </a:pPr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 ESCUELA ROMANA</a:t>
            </a:r>
          </a:p>
        </cx:rich>
      </cx:tx>
    </cx:title>
    <cx:plotArea>
      <cx:plotAreaRegion>
        <cx:series layoutId="boxWhisker" uniqueId="{F8EB029A-A5CA-9744-AD64-036755FBAC3B}">
          <cx:tx>
            <cx:txData>
              <cx:f>_xlchart.v1.2</cx:f>
              <cx:v>B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BOXPLOT PUNTAJE PRUEBA DE ADMISIÓN SEGÚN GÉNERO</a:t>
            </a:r>
          </a:p>
          <a:p>
            <a:pPr rtl="0"/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                                    ESCUELA ROMANA</a:t>
            </a:r>
            <a:endParaRPr lang="es-CL" sz="1400">
              <a:effectLst/>
            </a:endParaRPr>
          </a:p>
        </cx:rich>
      </cx:tx>
    </cx:title>
    <cx:plotArea>
      <cx:plotAreaRegion>
        <cx:series layoutId="boxWhisker" uniqueId="{4B3CF194-22BF-9642-B408-2B12A51F50B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404474</xdr:colOff>
      <xdr:row>19</xdr:row>
      <xdr:rowOff>39740</xdr:rowOff>
    </xdr:from>
    <xdr:to>
      <xdr:col>16</xdr:col>
      <xdr:colOff>378074</xdr:colOff>
      <xdr:row>32</xdr:row>
      <xdr:rowOff>141340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F7EC2E41-FA51-A844-8458-868ED9EA2B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37474" y="3779890"/>
              <a:ext cx="4653550" cy="266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793750</xdr:colOff>
      <xdr:row>11</xdr:row>
      <xdr:rowOff>196850</xdr:rowOff>
    </xdr:from>
    <xdr:to>
      <xdr:col>27</xdr:col>
      <xdr:colOff>641350</xdr:colOff>
      <xdr:row>25</xdr:row>
      <xdr:rowOff>95250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F9A8523-BE1D-BD41-BB08-ACF5762A5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69850</xdr:colOff>
      <xdr:row>26</xdr:row>
      <xdr:rowOff>177800</xdr:rowOff>
    </xdr:from>
    <xdr:to>
      <xdr:col>33</xdr:col>
      <xdr:colOff>736600</xdr:colOff>
      <xdr:row>43</xdr:row>
      <xdr:rowOff>82550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3646BAA-6F7B-EB42-BA8B-15B387238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274761</xdr:colOff>
      <xdr:row>2</xdr:row>
      <xdr:rowOff>112728</xdr:rowOff>
    </xdr:from>
    <xdr:to>
      <xdr:col>34</xdr:col>
      <xdr:colOff>642135</xdr:colOff>
      <xdr:row>19</xdr:row>
      <xdr:rowOff>71348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E4F8DEE-46A4-9844-85F6-9C692BFEB1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00211" y="506428"/>
              <a:ext cx="6234774" cy="3305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190C-2A1E-234D-99B3-E0D6FED12BBA}">
  <dimension ref="A2:K32"/>
  <sheetViews>
    <sheetView workbookViewId="0">
      <selection activeCell="B13" sqref="B13"/>
    </sheetView>
  </sheetViews>
  <sheetFormatPr baseColWidth="10" defaultColWidth="0" defaultRowHeight="15" customHeight="1" x14ac:dyDescent="0.35"/>
  <cols>
    <col min="1" max="1" width="21.58203125" style="17" customWidth="1"/>
    <col min="2" max="2" width="27" style="18" customWidth="1"/>
    <col min="3" max="3" width="21.58203125" style="17" customWidth="1"/>
    <col min="4" max="16384" width="21.58203125" style="17" hidden="1"/>
  </cols>
  <sheetData>
    <row r="2" spans="2:11" ht="15" customHeight="1" x14ac:dyDescent="0.35">
      <c r="I2" s="19" t="s">
        <v>0</v>
      </c>
      <c r="J2" s="19" t="s">
        <v>1</v>
      </c>
      <c r="K2" s="19" t="s">
        <v>2</v>
      </c>
    </row>
    <row r="3" spans="2:11" ht="15" customHeight="1" x14ac:dyDescent="0.35">
      <c r="B3" s="23" t="s">
        <v>3</v>
      </c>
      <c r="G3" s="16" t="s">
        <v>4</v>
      </c>
      <c r="I3" s="17" t="s">
        <v>5</v>
      </c>
      <c r="J3" s="20">
        <v>79473339</v>
      </c>
      <c r="K3" s="20" t="s">
        <v>6</v>
      </c>
    </row>
    <row r="4" spans="2:11" ht="30" customHeight="1" x14ac:dyDescent="0.35">
      <c r="B4" s="24" t="s">
        <v>0</v>
      </c>
      <c r="G4" s="21" t="str">
        <f>VLOOKUP(B4,I:K,2,)</f>
        <v>SELECCIONE RUT</v>
      </c>
      <c r="I4" s="17" t="s">
        <v>7</v>
      </c>
      <c r="J4" s="20">
        <v>81025168</v>
      </c>
      <c r="K4" s="20" t="s">
        <v>8</v>
      </c>
    </row>
    <row r="5" spans="2:11" ht="15" customHeight="1" x14ac:dyDescent="0.35">
      <c r="G5" s="18"/>
      <c r="I5" s="17" t="s">
        <v>9</v>
      </c>
      <c r="J5" s="20">
        <v>37568226</v>
      </c>
      <c r="K5" s="20" t="s">
        <v>10</v>
      </c>
    </row>
    <row r="6" spans="2:11" ht="15" customHeight="1" x14ac:dyDescent="0.35">
      <c r="G6" s="16" t="s">
        <v>2</v>
      </c>
      <c r="I6" s="17" t="s">
        <v>11</v>
      </c>
      <c r="J6" s="20">
        <v>79509581</v>
      </c>
      <c r="K6" s="20" t="s">
        <v>12</v>
      </c>
    </row>
    <row r="7" spans="2:11" ht="15" customHeight="1" x14ac:dyDescent="0.35">
      <c r="G7" s="22" t="str">
        <f>VLOOKUP(G4,J2:K21,2,FALSE)</f>
        <v>ALUMNO</v>
      </c>
      <c r="I7" s="17" t="s">
        <v>13</v>
      </c>
      <c r="J7" s="20">
        <v>99160009</v>
      </c>
      <c r="K7" s="20" t="s">
        <v>14</v>
      </c>
    </row>
    <row r="8" spans="2:11" ht="15" customHeight="1" x14ac:dyDescent="0.35">
      <c r="I8" s="17" t="s">
        <v>15</v>
      </c>
      <c r="J8" s="20">
        <v>48882672</v>
      </c>
      <c r="K8" s="20" t="s">
        <v>16</v>
      </c>
    </row>
    <row r="9" spans="2:11" ht="15" customHeight="1" x14ac:dyDescent="0.35">
      <c r="I9" s="17" t="s">
        <v>17</v>
      </c>
      <c r="J9" s="20">
        <v>60550932</v>
      </c>
      <c r="K9" s="20" t="s">
        <v>18</v>
      </c>
    </row>
    <row r="10" spans="2:11" ht="15" customHeight="1" x14ac:dyDescent="0.35">
      <c r="I10" s="17" t="s">
        <v>19</v>
      </c>
      <c r="J10" s="20">
        <v>56696190</v>
      </c>
      <c r="K10" s="20" t="s">
        <v>20</v>
      </c>
    </row>
    <row r="11" spans="2:11" ht="15" customHeight="1" x14ac:dyDescent="0.35">
      <c r="I11" s="17" t="s">
        <v>21</v>
      </c>
      <c r="J11" s="20">
        <v>77789015</v>
      </c>
      <c r="K11" s="20" t="s">
        <v>22</v>
      </c>
    </row>
    <row r="12" spans="2:11" ht="15" customHeight="1" x14ac:dyDescent="0.35">
      <c r="I12" s="17" t="s">
        <v>23</v>
      </c>
      <c r="J12" s="20">
        <v>78787183</v>
      </c>
      <c r="K12" s="20" t="s">
        <v>24</v>
      </c>
    </row>
    <row r="13" spans="2:11" ht="15" customHeight="1" x14ac:dyDescent="0.35">
      <c r="I13" s="17" t="s">
        <v>25</v>
      </c>
      <c r="J13" s="20">
        <v>26760665</v>
      </c>
      <c r="K13" s="20" t="s">
        <v>26</v>
      </c>
    </row>
    <row r="14" spans="2:11" ht="15" customHeight="1" x14ac:dyDescent="0.35">
      <c r="I14" s="17" t="s">
        <v>27</v>
      </c>
      <c r="J14" s="20">
        <v>79193836</v>
      </c>
      <c r="K14" s="20" t="s">
        <v>28</v>
      </c>
    </row>
    <row r="15" spans="2:11" ht="15" customHeight="1" x14ac:dyDescent="0.35">
      <c r="I15" s="17" t="s">
        <v>29</v>
      </c>
      <c r="J15" s="20">
        <v>63307104</v>
      </c>
      <c r="K15" s="20" t="s">
        <v>30</v>
      </c>
    </row>
    <row r="16" spans="2:11" ht="15" customHeight="1" x14ac:dyDescent="0.35">
      <c r="I16" s="17" t="s">
        <v>31</v>
      </c>
      <c r="J16" s="20">
        <v>81236575</v>
      </c>
      <c r="K16" s="20" t="s">
        <v>32</v>
      </c>
    </row>
    <row r="17" spans="9:11" ht="15" customHeight="1" x14ac:dyDescent="0.35">
      <c r="I17" s="17" t="s">
        <v>33</v>
      </c>
      <c r="J17" s="20">
        <v>41517828</v>
      </c>
      <c r="K17" s="20" t="s">
        <v>34</v>
      </c>
    </row>
    <row r="18" spans="9:11" ht="15" customHeight="1" x14ac:dyDescent="0.35">
      <c r="I18" s="17" t="s">
        <v>35</v>
      </c>
      <c r="J18" s="20">
        <v>83397571</v>
      </c>
      <c r="K18" s="20" t="s">
        <v>36</v>
      </c>
    </row>
    <row r="19" spans="9:11" ht="15" customHeight="1" x14ac:dyDescent="0.35">
      <c r="I19" s="17" t="s">
        <v>37</v>
      </c>
      <c r="J19" s="20">
        <v>37927377</v>
      </c>
      <c r="K19" s="20" t="s">
        <v>38</v>
      </c>
    </row>
    <row r="20" spans="9:11" ht="15" customHeight="1" x14ac:dyDescent="0.35">
      <c r="I20" s="17" t="s">
        <v>39</v>
      </c>
      <c r="J20" s="20">
        <v>80348602</v>
      </c>
      <c r="K20" s="20" t="s">
        <v>40</v>
      </c>
    </row>
    <row r="21" spans="9:11" ht="15" customHeight="1" x14ac:dyDescent="0.35">
      <c r="I21" s="17" t="s">
        <v>41</v>
      </c>
      <c r="J21" s="20">
        <v>87470251</v>
      </c>
      <c r="K21" s="20" t="s">
        <v>42</v>
      </c>
    </row>
    <row r="22" spans="9:11" ht="15" customHeight="1" x14ac:dyDescent="0.35">
      <c r="I22" s="17" t="s">
        <v>81</v>
      </c>
      <c r="J22" s="20">
        <v>34496152</v>
      </c>
    </row>
    <row r="23" spans="9:11" ht="15" customHeight="1" x14ac:dyDescent="0.35">
      <c r="I23" s="17" t="s">
        <v>82</v>
      </c>
      <c r="J23" s="20">
        <v>69035824</v>
      </c>
    </row>
    <row r="24" spans="9:11" ht="15" customHeight="1" x14ac:dyDescent="0.35">
      <c r="I24" s="17" t="s">
        <v>83</v>
      </c>
      <c r="J24" s="20">
        <v>71118739</v>
      </c>
    </row>
    <row r="25" spans="9:11" ht="15" customHeight="1" x14ac:dyDescent="0.35">
      <c r="I25" s="17" t="s">
        <v>84</v>
      </c>
      <c r="J25" s="20">
        <v>35637425</v>
      </c>
    </row>
    <row r="26" spans="9:11" ht="15" customHeight="1" x14ac:dyDescent="0.35">
      <c r="I26" s="17" t="s">
        <v>85</v>
      </c>
      <c r="J26" s="20">
        <v>49338949</v>
      </c>
    </row>
    <row r="27" spans="9:11" ht="15" customHeight="1" x14ac:dyDescent="0.35">
      <c r="I27" s="17" t="s">
        <v>86</v>
      </c>
      <c r="J27" s="20">
        <v>55002986</v>
      </c>
    </row>
    <row r="28" spans="9:11" ht="15" customHeight="1" x14ac:dyDescent="0.35">
      <c r="I28" s="17" t="s">
        <v>87</v>
      </c>
      <c r="J28" s="20">
        <v>51558502</v>
      </c>
    </row>
    <row r="29" spans="9:11" ht="15" customHeight="1" x14ac:dyDescent="0.35">
      <c r="I29" s="17" t="s">
        <v>88</v>
      </c>
      <c r="J29" s="20">
        <v>80257659</v>
      </c>
    </row>
    <row r="30" spans="9:11" ht="15" customHeight="1" x14ac:dyDescent="0.35">
      <c r="I30" s="17" t="s">
        <v>89</v>
      </c>
      <c r="J30" s="20">
        <v>68618426</v>
      </c>
    </row>
    <row r="31" spans="9:11" ht="15" customHeight="1" x14ac:dyDescent="0.35">
      <c r="I31" s="17" t="s">
        <v>90</v>
      </c>
      <c r="J31" s="20">
        <v>52497317</v>
      </c>
    </row>
    <row r="32" spans="9:11" ht="15" customHeight="1" x14ac:dyDescent="0.35">
      <c r="I32" s="17" t="s">
        <v>91</v>
      </c>
      <c r="J32" s="20">
        <v>92893974</v>
      </c>
    </row>
  </sheetData>
  <sheetProtection algorithmName="SHA-512" hashValue="z0KOTuFNSoQnurRR1YPhckHAYkVKQ/hvqIeNNVmwzePLePmXbp9r4efRFG4gLLtkd6cVD0iax215CXt7rKxIdg==" saltValue="Snl0D5JSXV6rOEO7tyqTsA==" spinCount="100000" sheet="1"/>
  <phoneticPr fontId="5" type="noConversion"/>
  <dataValidations count="2">
    <dataValidation type="list" allowBlank="1" showInputMessage="1" showErrorMessage="1" sqref="G4" xr:uid="{5F3E7FA3-DFF8-2B40-8195-6741B98546AB}">
      <formula1>$J$2:$J$21</formula1>
    </dataValidation>
    <dataValidation type="list" allowBlank="1" showInputMessage="1" showErrorMessage="1" sqref="B4" xr:uid="{7FDF24FA-880C-B147-A923-95BCBFBFAD4F}">
      <formula1>$I$2:$I$32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5B94-FAE5-BE4B-946C-28C4DAFAB914}">
  <dimension ref="A1:AA451"/>
  <sheetViews>
    <sheetView topLeftCell="S1" workbookViewId="0">
      <selection activeCell="U8" sqref="U8"/>
    </sheetView>
  </sheetViews>
  <sheetFormatPr baseColWidth="10" defaultColWidth="11" defaultRowHeight="15.5" x14ac:dyDescent="0.35"/>
  <cols>
    <col min="1" max="1" width="4.08203125" style="1" customWidth="1"/>
    <col min="2" max="2" width="4.08203125" style="9" customWidth="1"/>
    <col min="3" max="3" width="8.33203125" style="1" customWidth="1"/>
    <col min="4" max="4" width="15.83203125" style="9" bestFit="1" customWidth="1"/>
    <col min="5" max="5" width="16.83203125" style="1" customWidth="1"/>
    <col min="6" max="6" width="37.75" style="9" bestFit="1" customWidth="1"/>
    <col min="7" max="8" width="8.58203125" style="1" customWidth="1"/>
    <col min="9" max="9" width="8.58203125" style="9" customWidth="1"/>
    <col min="10" max="11" width="15" style="1" customWidth="1"/>
    <col min="12" max="12" width="14.6640625" style="9" bestFit="1" customWidth="1"/>
    <col min="13" max="13" width="21.08203125" style="10" bestFit="1" customWidth="1"/>
    <col min="14" max="15" width="15" style="1" customWidth="1"/>
    <col min="16" max="16" width="8.58203125" style="1" customWidth="1"/>
    <col min="17" max="17" width="15" style="1" customWidth="1"/>
    <col min="18" max="18" width="6.33203125" customWidth="1"/>
    <col min="19" max="19" width="11.08203125" style="1" customWidth="1"/>
    <col min="20" max="21" width="11" customWidth="1"/>
    <col min="22" max="22" width="11" style="1" customWidth="1"/>
    <col min="23" max="23" width="7.5" style="1" bestFit="1" customWidth="1"/>
    <col min="24" max="24" width="38.33203125" style="1" bestFit="1" customWidth="1"/>
    <col min="25" max="26" width="11" customWidth="1"/>
    <col min="27" max="27" width="38.33203125" bestFit="1" customWidth="1"/>
  </cols>
  <sheetData>
    <row r="1" spans="1:27" x14ac:dyDescent="0.35">
      <c r="A1" s="1" t="s">
        <v>43</v>
      </c>
      <c r="B1" s="8" t="s">
        <v>44</v>
      </c>
      <c r="C1" s="3" t="s">
        <v>45</v>
      </c>
      <c r="D1" s="8" t="s">
        <v>45</v>
      </c>
      <c r="E1" s="3" t="s">
        <v>46</v>
      </c>
      <c r="F1" s="8" t="s">
        <v>46</v>
      </c>
      <c r="G1" s="3" t="s">
        <v>47</v>
      </c>
      <c r="H1" s="3" t="s">
        <v>47</v>
      </c>
      <c r="I1" s="8" t="s">
        <v>47</v>
      </c>
      <c r="J1" s="3" t="s">
        <v>48</v>
      </c>
      <c r="K1" s="3" t="s">
        <v>48</v>
      </c>
      <c r="L1" s="8" t="s">
        <v>94</v>
      </c>
      <c r="M1" s="8" t="s">
        <v>97</v>
      </c>
      <c r="N1" s="3"/>
      <c r="O1" s="3"/>
      <c r="P1" s="3" t="s">
        <v>47</v>
      </c>
      <c r="Q1" s="3" t="s">
        <v>48</v>
      </c>
      <c r="R1" s="3" t="s">
        <v>49</v>
      </c>
      <c r="S1" s="1" t="s">
        <v>4</v>
      </c>
    </row>
    <row r="2" spans="1:27" x14ac:dyDescent="0.35">
      <c r="A2" s="1">
        <v>1</v>
      </c>
      <c r="B2" s="8">
        <v>65</v>
      </c>
      <c r="C2" s="3" t="e">
        <f>VALUE(MID(U2,MOD(A2,5)+1,1))</f>
        <v>#VALUE!</v>
      </c>
      <c r="D2" s="8" t="e">
        <f t="shared" ref="D2:D65" si="0">VLOOKUP(C2,$W$8:$X$10,2,FALSE)</f>
        <v>#VALUE!</v>
      </c>
      <c r="E2" s="3" t="e">
        <f>VALUE(MID(U2,(5-MOD(A2,4)),1))</f>
        <v>#VALUE!</v>
      </c>
      <c r="F2" s="8" t="e">
        <f>VLOOKUP(E2,$W$2:$X$4,2,FALSE)</f>
        <v>#VALUE!</v>
      </c>
      <c r="G2" s="3" t="e">
        <f t="shared" ref="G2:G65" si="1">MID($W$22,MOD(ROW(G2),5)+1,1)*(-1)^ROW(G2)</f>
        <v>#VALUE!</v>
      </c>
      <c r="H2" s="3">
        <v>284</v>
      </c>
      <c r="I2" s="8" t="e">
        <f t="shared" ref="I2:I65" si="2">H2+G2</f>
        <v>#VALUE!</v>
      </c>
      <c r="J2" s="3">
        <v>153246</v>
      </c>
      <c r="K2" s="3" t="e">
        <f t="shared" ref="K2:K65" si="3">$X$22</f>
        <v>#VALUE!</v>
      </c>
      <c r="L2" s="8" t="e">
        <f>VLOOKUP(O2,$Z$2:$AA$5,2,FALSE)</f>
        <v>#VALUE!</v>
      </c>
      <c r="M2" s="8" t="e">
        <f>VLOOKUP(N2,$Z$8:$AA$10,2,FALSE)</f>
        <v>#VALUE!</v>
      </c>
      <c r="N2" s="3" t="e">
        <f>VALUE(MID(U2,(5-MOD(A2,3)),1))</f>
        <v>#VALUE!</v>
      </c>
      <c r="O2" s="3" t="e">
        <f>N3+N4</f>
        <v>#VALUE!</v>
      </c>
      <c r="P2" s="3">
        <v>193</v>
      </c>
      <c r="Q2" s="3">
        <v>139518</v>
      </c>
      <c r="R2" s="3">
        <v>3</v>
      </c>
      <c r="S2" s="1" t="str">
        <f>FORMAS!G4</f>
        <v>SELECCIONE RUT</v>
      </c>
      <c r="T2" t="e">
        <f>INT(W23/2)+14</f>
        <v>#VALUE!</v>
      </c>
      <c r="U2" t="e">
        <f>DEC2BIN(T2)</f>
        <v>#VALUE!</v>
      </c>
      <c r="W2" s="7" t="s">
        <v>50</v>
      </c>
      <c r="X2" s="7" t="s">
        <v>46</v>
      </c>
      <c r="Z2" s="7" t="s">
        <v>50</v>
      </c>
      <c r="AA2" s="7" t="s">
        <v>94</v>
      </c>
    </row>
    <row r="3" spans="1:27" x14ac:dyDescent="0.35">
      <c r="A3" s="1">
        <v>2</v>
      </c>
      <c r="B3" s="8">
        <v>162</v>
      </c>
      <c r="C3" s="3" t="e">
        <f t="shared" ref="C3:C66" si="4">VALUE(MID(U3,MOD(A3,5)+1,1))</f>
        <v>#VALUE!</v>
      </c>
      <c r="D3" s="8" t="e">
        <f t="shared" si="0"/>
        <v>#VALUE!</v>
      </c>
      <c r="E3" s="3" t="e">
        <f t="shared" ref="E3:E66" si="5">VALUE(MID(U3,(5-MOD(A3,4)),1))</f>
        <v>#VALUE!</v>
      </c>
      <c r="F3" s="8" t="e">
        <f t="shared" ref="F3:F65" si="6">VLOOKUP(E3,$W$2:$X$4,2,FALSE)</f>
        <v>#VALUE!</v>
      </c>
      <c r="G3" s="3" t="e">
        <f t="shared" si="1"/>
        <v>#VALUE!</v>
      </c>
      <c r="H3" s="3">
        <v>474</v>
      </c>
      <c r="I3" s="8" t="e">
        <f t="shared" si="2"/>
        <v>#VALUE!</v>
      </c>
      <c r="J3" s="3">
        <v>128589</v>
      </c>
      <c r="K3" s="3" t="e">
        <f t="shared" si="3"/>
        <v>#VALUE!</v>
      </c>
      <c r="L3" s="8" t="e">
        <f t="shared" ref="L3:L66" si="7">VLOOKUP(O3,$Z$2:$AA$5,2,FALSE)</f>
        <v>#VALUE!</v>
      </c>
      <c r="M3" s="8" t="e">
        <f t="shared" ref="M3:M66" si="8">VLOOKUP(N3,$Z$8:$AA$10,2,FALSE)</f>
        <v>#VALUE!</v>
      </c>
      <c r="N3" s="3" t="e">
        <f t="shared" ref="N3:N66" si="9">VALUE(MID(U3,(5-MOD(A3,3)),1))</f>
        <v>#VALUE!</v>
      </c>
      <c r="O3" s="3" t="e">
        <f t="shared" ref="O3:O66" si="10">N4+N5</f>
        <v>#VALUE!</v>
      </c>
      <c r="P3" s="3">
        <v>413</v>
      </c>
      <c r="Q3" s="3">
        <v>279949</v>
      </c>
      <c r="R3" s="3">
        <v>5</v>
      </c>
      <c r="T3" t="e">
        <f>T2+1</f>
        <v>#VALUE!</v>
      </c>
      <c r="U3" t="e">
        <f t="shared" ref="U3:U66" si="11">DEC2BIN(T3)</f>
        <v>#VALUE!</v>
      </c>
      <c r="V3" s="1" t="str">
        <f>MID(S2,3,1)</f>
        <v>L</v>
      </c>
      <c r="W3" s="6" t="e">
        <f>MOD(V3,2)</f>
        <v>#VALUE!</v>
      </c>
      <c r="X3" s="6" t="s">
        <v>98</v>
      </c>
      <c r="Y3" s="1" t="str">
        <f>MID(S2,5,1)</f>
        <v>C</v>
      </c>
      <c r="Z3" s="6" t="e">
        <f>MOD(Y3,3)</f>
        <v>#VALUE!</v>
      </c>
      <c r="AA3" s="6" t="s">
        <v>96</v>
      </c>
    </row>
    <row r="4" spans="1:27" x14ac:dyDescent="0.35">
      <c r="A4" s="1">
        <v>3</v>
      </c>
      <c r="B4" s="8">
        <v>19</v>
      </c>
      <c r="C4" s="3" t="e">
        <f t="shared" si="4"/>
        <v>#VALUE!</v>
      </c>
      <c r="D4" s="8" t="e">
        <f t="shared" si="0"/>
        <v>#VALUE!</v>
      </c>
      <c r="E4" s="3" t="e">
        <f t="shared" si="5"/>
        <v>#VALUE!</v>
      </c>
      <c r="F4" s="8" t="e">
        <f t="shared" si="6"/>
        <v>#VALUE!</v>
      </c>
      <c r="G4" s="3" t="e">
        <f t="shared" si="1"/>
        <v>#VALUE!</v>
      </c>
      <c r="H4" s="3">
        <v>146</v>
      </c>
      <c r="I4" s="8" t="e">
        <f t="shared" si="2"/>
        <v>#VALUE!</v>
      </c>
      <c r="J4" s="3">
        <v>204613</v>
      </c>
      <c r="K4" s="3" t="e">
        <f t="shared" si="3"/>
        <v>#VALUE!</v>
      </c>
      <c r="L4" s="8" t="e">
        <f t="shared" si="7"/>
        <v>#VALUE!</v>
      </c>
      <c r="M4" s="8" t="e">
        <f t="shared" si="8"/>
        <v>#VALUE!</v>
      </c>
      <c r="N4" s="3" t="e">
        <f t="shared" si="9"/>
        <v>#VALUE!</v>
      </c>
      <c r="O4" s="3" t="e">
        <f t="shared" si="10"/>
        <v>#VALUE!</v>
      </c>
      <c r="P4" s="3">
        <v>302</v>
      </c>
      <c r="Q4" s="3">
        <v>206889</v>
      </c>
      <c r="R4" s="3">
        <v>3</v>
      </c>
      <c r="T4" t="e">
        <f t="shared" ref="T4:T67" si="12">T3+1</f>
        <v>#VALUE!</v>
      </c>
      <c r="U4" t="e">
        <f t="shared" si="11"/>
        <v>#VALUE!</v>
      </c>
      <c r="V4" s="1" t="e">
        <f>V3+1</f>
        <v>#VALUE!</v>
      </c>
      <c r="W4" s="6" t="e">
        <f>MOD(V4,2)</f>
        <v>#VALUE!</v>
      </c>
      <c r="X4" s="6" t="s">
        <v>77</v>
      </c>
      <c r="Y4" s="1" t="e">
        <f>Y3+1</f>
        <v>#VALUE!</v>
      </c>
      <c r="Z4" s="6" t="e">
        <f t="shared" ref="Z4:Z5" si="13">MOD(Y4,3)</f>
        <v>#VALUE!</v>
      </c>
      <c r="AA4" s="6" t="s">
        <v>93</v>
      </c>
    </row>
    <row r="5" spans="1:27" x14ac:dyDescent="0.35">
      <c r="A5" s="1">
        <v>4</v>
      </c>
      <c r="B5" s="8">
        <v>174</v>
      </c>
      <c r="C5" s="3" t="e">
        <f t="shared" si="4"/>
        <v>#VALUE!</v>
      </c>
      <c r="D5" s="8" t="e">
        <f t="shared" si="0"/>
        <v>#VALUE!</v>
      </c>
      <c r="E5" s="3" t="e">
        <f t="shared" si="5"/>
        <v>#VALUE!</v>
      </c>
      <c r="F5" s="8" t="e">
        <f t="shared" si="6"/>
        <v>#VALUE!</v>
      </c>
      <c r="G5" s="3" t="e">
        <f t="shared" si="1"/>
        <v>#VALUE!</v>
      </c>
      <c r="H5" s="3">
        <v>748</v>
      </c>
      <c r="I5" s="8" t="e">
        <f t="shared" si="2"/>
        <v>#VALUE!</v>
      </c>
      <c r="J5" s="3">
        <v>68048</v>
      </c>
      <c r="K5" s="3" t="e">
        <f t="shared" si="3"/>
        <v>#VALUE!</v>
      </c>
      <c r="L5" s="8" t="e">
        <f t="shared" si="7"/>
        <v>#VALUE!</v>
      </c>
      <c r="M5" s="8" t="e">
        <f t="shared" si="8"/>
        <v>#VALUE!</v>
      </c>
      <c r="N5" s="3" t="e">
        <f t="shared" si="9"/>
        <v>#VALUE!</v>
      </c>
      <c r="O5" s="3" t="e">
        <f t="shared" si="10"/>
        <v>#VALUE!</v>
      </c>
      <c r="P5" s="3">
        <v>500</v>
      </c>
      <c r="Q5" s="3">
        <v>156581</v>
      </c>
      <c r="R5" s="3">
        <v>3</v>
      </c>
      <c r="T5" t="e">
        <f t="shared" si="12"/>
        <v>#VALUE!</v>
      </c>
      <c r="U5" t="e">
        <f t="shared" si="11"/>
        <v>#VALUE!</v>
      </c>
      <c r="V5"/>
      <c r="W5"/>
      <c r="X5"/>
      <c r="Y5" s="1" t="e">
        <f>Y4+1</f>
        <v>#VALUE!</v>
      </c>
      <c r="Z5" s="6" t="e">
        <f t="shared" si="13"/>
        <v>#VALUE!</v>
      </c>
      <c r="AA5" s="6" t="s">
        <v>92</v>
      </c>
    </row>
    <row r="6" spans="1:27" x14ac:dyDescent="0.35">
      <c r="A6" s="1">
        <v>5</v>
      </c>
      <c r="B6" s="8">
        <v>220</v>
      </c>
      <c r="C6" s="3" t="e">
        <f t="shared" si="4"/>
        <v>#VALUE!</v>
      </c>
      <c r="D6" s="8" t="e">
        <f t="shared" si="0"/>
        <v>#VALUE!</v>
      </c>
      <c r="E6" s="3" t="e">
        <f t="shared" si="5"/>
        <v>#VALUE!</v>
      </c>
      <c r="F6" s="8" t="e">
        <f t="shared" si="6"/>
        <v>#VALUE!</v>
      </c>
      <c r="G6" s="3" t="e">
        <f t="shared" si="1"/>
        <v>#VALUE!</v>
      </c>
      <c r="H6" s="3">
        <v>574</v>
      </c>
      <c r="I6" s="8" t="e">
        <f t="shared" si="2"/>
        <v>#VALUE!</v>
      </c>
      <c r="J6" s="3">
        <v>211829</v>
      </c>
      <c r="K6" s="3" t="e">
        <f t="shared" si="3"/>
        <v>#VALUE!</v>
      </c>
      <c r="L6" s="8" t="e">
        <f t="shared" si="7"/>
        <v>#VALUE!</v>
      </c>
      <c r="M6" s="8" t="e">
        <f t="shared" si="8"/>
        <v>#VALUE!</v>
      </c>
      <c r="N6" s="3" t="e">
        <f t="shared" si="9"/>
        <v>#VALUE!</v>
      </c>
      <c r="O6" s="3" t="e">
        <f t="shared" si="10"/>
        <v>#VALUE!</v>
      </c>
      <c r="P6" s="3">
        <v>306</v>
      </c>
      <c r="Q6" s="3">
        <v>135253</v>
      </c>
      <c r="R6" s="3">
        <v>3</v>
      </c>
      <c r="T6" t="e">
        <f t="shared" si="12"/>
        <v>#VALUE!</v>
      </c>
      <c r="U6" t="e">
        <f t="shared" si="11"/>
        <v>#VALUE!</v>
      </c>
      <c r="Y6" s="1"/>
      <c r="AA6" s="25"/>
    </row>
    <row r="7" spans="1:27" x14ac:dyDescent="0.35">
      <c r="A7" s="1">
        <v>6</v>
      </c>
      <c r="B7" s="8">
        <v>8</v>
      </c>
      <c r="C7" s="3" t="e">
        <f t="shared" si="4"/>
        <v>#VALUE!</v>
      </c>
      <c r="D7" s="8" t="e">
        <f t="shared" si="0"/>
        <v>#VALUE!</v>
      </c>
      <c r="E7" s="3" t="e">
        <f t="shared" si="5"/>
        <v>#VALUE!</v>
      </c>
      <c r="F7" s="8" t="e">
        <f t="shared" si="6"/>
        <v>#VALUE!</v>
      </c>
      <c r="G7" s="3" t="e">
        <f t="shared" si="1"/>
        <v>#VALUE!</v>
      </c>
      <c r="H7" s="3">
        <v>430</v>
      </c>
      <c r="I7" s="8" t="e">
        <f t="shared" si="2"/>
        <v>#VALUE!</v>
      </c>
      <c r="J7" s="3">
        <v>123246</v>
      </c>
      <c r="K7" s="3" t="e">
        <f t="shared" si="3"/>
        <v>#VALUE!</v>
      </c>
      <c r="L7" s="8" t="e">
        <f t="shared" si="7"/>
        <v>#VALUE!</v>
      </c>
      <c r="M7" s="8" t="e">
        <f t="shared" si="8"/>
        <v>#VALUE!</v>
      </c>
      <c r="N7" s="3" t="e">
        <f t="shared" si="9"/>
        <v>#VALUE!</v>
      </c>
      <c r="O7" s="3" t="e">
        <f t="shared" si="10"/>
        <v>#VALUE!</v>
      </c>
      <c r="P7" s="3">
        <v>331</v>
      </c>
      <c r="Q7" s="3">
        <v>97877</v>
      </c>
      <c r="R7" s="3">
        <v>4</v>
      </c>
      <c r="T7" t="e">
        <f t="shared" si="12"/>
        <v>#VALUE!</v>
      </c>
      <c r="U7" t="e">
        <f t="shared" si="11"/>
        <v>#VALUE!</v>
      </c>
      <c r="Y7" s="1"/>
    </row>
    <row r="8" spans="1:27" x14ac:dyDescent="0.35">
      <c r="A8" s="1">
        <v>7</v>
      </c>
      <c r="B8" s="8">
        <v>74</v>
      </c>
      <c r="C8" s="3" t="e">
        <f t="shared" si="4"/>
        <v>#VALUE!</v>
      </c>
      <c r="D8" s="8" t="e">
        <f t="shared" si="0"/>
        <v>#VALUE!</v>
      </c>
      <c r="E8" s="3" t="e">
        <f t="shared" si="5"/>
        <v>#VALUE!</v>
      </c>
      <c r="F8" s="8" t="e">
        <f t="shared" si="6"/>
        <v>#VALUE!</v>
      </c>
      <c r="G8" s="3" t="e">
        <f t="shared" si="1"/>
        <v>#VALUE!</v>
      </c>
      <c r="H8" s="3">
        <v>235</v>
      </c>
      <c r="I8" s="8" t="e">
        <f t="shared" si="2"/>
        <v>#VALUE!</v>
      </c>
      <c r="J8" s="3">
        <v>153386</v>
      </c>
      <c r="K8" s="3" t="e">
        <f t="shared" si="3"/>
        <v>#VALUE!</v>
      </c>
      <c r="L8" s="8" t="e">
        <f t="shared" si="7"/>
        <v>#VALUE!</v>
      </c>
      <c r="M8" s="8" t="e">
        <f t="shared" si="8"/>
        <v>#VALUE!</v>
      </c>
      <c r="N8" s="3" t="e">
        <f t="shared" si="9"/>
        <v>#VALUE!</v>
      </c>
      <c r="O8" s="3" t="e">
        <f t="shared" si="10"/>
        <v>#VALUE!</v>
      </c>
      <c r="P8" s="3">
        <v>288</v>
      </c>
      <c r="Q8" s="3">
        <v>207789</v>
      </c>
      <c r="R8" s="3">
        <v>4</v>
      </c>
      <c r="T8" t="e">
        <f t="shared" si="12"/>
        <v>#VALUE!</v>
      </c>
      <c r="U8" t="e">
        <f t="shared" si="11"/>
        <v>#VALUE!</v>
      </c>
      <c r="W8" s="7" t="s">
        <v>50</v>
      </c>
      <c r="X8" s="7" t="s">
        <v>78</v>
      </c>
      <c r="Y8" s="1"/>
      <c r="Z8" s="7" t="s">
        <v>50</v>
      </c>
      <c r="AA8" s="7" t="s">
        <v>97</v>
      </c>
    </row>
    <row r="9" spans="1:27" x14ac:dyDescent="0.35">
      <c r="A9" s="1">
        <v>8</v>
      </c>
      <c r="B9" s="8">
        <v>225</v>
      </c>
      <c r="C9" s="3" t="e">
        <f t="shared" si="4"/>
        <v>#VALUE!</v>
      </c>
      <c r="D9" s="8" t="e">
        <f t="shared" si="0"/>
        <v>#VALUE!</v>
      </c>
      <c r="E9" s="3" t="e">
        <f t="shared" si="5"/>
        <v>#VALUE!</v>
      </c>
      <c r="F9" s="8" t="e">
        <f t="shared" si="6"/>
        <v>#VALUE!</v>
      </c>
      <c r="G9" s="3" t="e">
        <f t="shared" si="1"/>
        <v>#VALUE!</v>
      </c>
      <c r="H9" s="3">
        <v>909</v>
      </c>
      <c r="I9" s="8" t="e">
        <f t="shared" si="2"/>
        <v>#VALUE!</v>
      </c>
      <c r="J9" s="3">
        <v>135186</v>
      </c>
      <c r="K9" s="3" t="e">
        <f t="shared" si="3"/>
        <v>#VALUE!</v>
      </c>
      <c r="L9" s="8" t="e">
        <f t="shared" si="7"/>
        <v>#VALUE!</v>
      </c>
      <c r="M9" s="8" t="e">
        <f t="shared" si="8"/>
        <v>#VALUE!</v>
      </c>
      <c r="N9" s="3" t="e">
        <f t="shared" si="9"/>
        <v>#VALUE!</v>
      </c>
      <c r="O9" s="3" t="e">
        <f t="shared" si="10"/>
        <v>#VALUE!</v>
      </c>
      <c r="P9" s="3">
        <v>430</v>
      </c>
      <c r="Q9" s="3">
        <v>123246</v>
      </c>
      <c r="R9" s="3">
        <v>3</v>
      </c>
      <c r="T9" t="e">
        <f t="shared" si="12"/>
        <v>#VALUE!</v>
      </c>
      <c r="U9" t="e">
        <f t="shared" si="11"/>
        <v>#VALUE!</v>
      </c>
      <c r="V9" s="1" t="str">
        <f>MID(S2,4,1)</f>
        <v>E</v>
      </c>
      <c r="W9" s="6" t="e">
        <f>MOD(V9,2)</f>
        <v>#VALUE!</v>
      </c>
      <c r="X9" s="6" t="s">
        <v>79</v>
      </c>
      <c r="Y9" s="1" t="str">
        <f>MID(S2,6,1)</f>
        <v>C</v>
      </c>
      <c r="Z9" s="6" t="e">
        <f>MOD(V3,2)</f>
        <v>#VALUE!</v>
      </c>
      <c r="AA9" s="6" t="s">
        <v>100</v>
      </c>
    </row>
    <row r="10" spans="1:27" x14ac:dyDescent="0.35">
      <c r="A10" s="1">
        <v>9</v>
      </c>
      <c r="B10" s="8">
        <v>57</v>
      </c>
      <c r="C10" s="3" t="e">
        <f t="shared" si="4"/>
        <v>#VALUE!</v>
      </c>
      <c r="D10" s="8" t="e">
        <f t="shared" si="0"/>
        <v>#VALUE!</v>
      </c>
      <c r="E10" s="3" t="e">
        <f t="shared" si="5"/>
        <v>#VALUE!</v>
      </c>
      <c r="F10" s="8" t="e">
        <f t="shared" si="6"/>
        <v>#VALUE!</v>
      </c>
      <c r="G10" s="3" t="e">
        <f t="shared" si="1"/>
        <v>#VALUE!</v>
      </c>
      <c r="H10" s="3">
        <v>307</v>
      </c>
      <c r="I10" s="8" t="e">
        <f t="shared" si="2"/>
        <v>#VALUE!</v>
      </c>
      <c r="J10" s="3">
        <v>107914</v>
      </c>
      <c r="K10" s="3" t="e">
        <f t="shared" si="3"/>
        <v>#VALUE!</v>
      </c>
      <c r="L10" s="8" t="e">
        <f t="shared" si="7"/>
        <v>#VALUE!</v>
      </c>
      <c r="M10" s="8" t="e">
        <f t="shared" si="8"/>
        <v>#VALUE!</v>
      </c>
      <c r="N10" s="3" t="e">
        <f t="shared" si="9"/>
        <v>#VALUE!</v>
      </c>
      <c r="O10" s="3" t="e">
        <f t="shared" si="10"/>
        <v>#VALUE!</v>
      </c>
      <c r="P10" s="3">
        <v>119</v>
      </c>
      <c r="Q10" s="3">
        <v>162753</v>
      </c>
      <c r="R10" s="3">
        <v>3</v>
      </c>
      <c r="T10" t="e">
        <f t="shared" si="12"/>
        <v>#VALUE!</v>
      </c>
      <c r="U10" t="e">
        <f t="shared" si="11"/>
        <v>#VALUE!</v>
      </c>
      <c r="V10" s="1" t="e">
        <f>V9+1</f>
        <v>#VALUE!</v>
      </c>
      <c r="W10" s="6" t="e">
        <f>MOD(V10,2)</f>
        <v>#VALUE!</v>
      </c>
      <c r="X10" s="6" t="s">
        <v>80</v>
      </c>
      <c r="Y10" s="1" t="e">
        <f>Y9+1</f>
        <v>#VALUE!</v>
      </c>
      <c r="Z10" s="6" t="e">
        <f>MOD(V4,2)</f>
        <v>#VALUE!</v>
      </c>
      <c r="AA10" s="6" t="s">
        <v>99</v>
      </c>
    </row>
    <row r="11" spans="1:27" x14ac:dyDescent="0.35">
      <c r="A11" s="1">
        <v>10</v>
      </c>
      <c r="B11" s="8">
        <v>105</v>
      </c>
      <c r="C11" s="3" t="e">
        <f t="shared" si="4"/>
        <v>#VALUE!</v>
      </c>
      <c r="D11" s="8" t="e">
        <f t="shared" si="0"/>
        <v>#VALUE!</v>
      </c>
      <c r="E11" s="3" t="e">
        <f t="shared" si="5"/>
        <v>#VALUE!</v>
      </c>
      <c r="F11" s="8" t="e">
        <f t="shared" si="6"/>
        <v>#VALUE!</v>
      </c>
      <c r="G11" s="3" t="e">
        <f t="shared" si="1"/>
        <v>#VALUE!</v>
      </c>
      <c r="H11" s="3">
        <v>378</v>
      </c>
      <c r="I11" s="8" t="e">
        <f t="shared" si="2"/>
        <v>#VALUE!</v>
      </c>
      <c r="J11" s="3">
        <v>92827</v>
      </c>
      <c r="K11" s="3" t="e">
        <f t="shared" si="3"/>
        <v>#VALUE!</v>
      </c>
      <c r="L11" s="8" t="e">
        <f t="shared" si="7"/>
        <v>#VALUE!</v>
      </c>
      <c r="M11" s="8" t="e">
        <f t="shared" si="8"/>
        <v>#VALUE!</v>
      </c>
      <c r="N11" s="3" t="e">
        <f t="shared" si="9"/>
        <v>#VALUE!</v>
      </c>
      <c r="O11" s="3" t="e">
        <f t="shared" si="10"/>
        <v>#VALUE!</v>
      </c>
      <c r="P11" s="3">
        <v>392</v>
      </c>
      <c r="Q11" s="3">
        <v>210279</v>
      </c>
      <c r="R11" s="3">
        <v>5</v>
      </c>
      <c r="T11" t="e">
        <f t="shared" si="12"/>
        <v>#VALUE!</v>
      </c>
      <c r="U11" t="e">
        <f t="shared" si="11"/>
        <v>#VALUE!</v>
      </c>
      <c r="W11"/>
      <c r="X11"/>
    </row>
    <row r="12" spans="1:27" x14ac:dyDescent="0.35">
      <c r="A12" s="1">
        <v>11</v>
      </c>
      <c r="B12" s="8">
        <v>88</v>
      </c>
      <c r="C12" s="3" t="e">
        <f t="shared" si="4"/>
        <v>#VALUE!</v>
      </c>
      <c r="D12" s="8" t="e">
        <f t="shared" si="0"/>
        <v>#VALUE!</v>
      </c>
      <c r="E12" s="3" t="e">
        <f t="shared" si="5"/>
        <v>#VALUE!</v>
      </c>
      <c r="F12" s="8" t="e">
        <f t="shared" si="6"/>
        <v>#VALUE!</v>
      </c>
      <c r="G12" s="3" t="e">
        <f t="shared" si="1"/>
        <v>#VALUE!</v>
      </c>
      <c r="H12" s="3">
        <v>393</v>
      </c>
      <c r="I12" s="8" t="e">
        <f t="shared" si="2"/>
        <v>#VALUE!</v>
      </c>
      <c r="J12" s="3">
        <v>129369</v>
      </c>
      <c r="K12" s="3" t="e">
        <f t="shared" si="3"/>
        <v>#VALUE!</v>
      </c>
      <c r="L12" s="8" t="e">
        <f t="shared" si="7"/>
        <v>#VALUE!</v>
      </c>
      <c r="M12" s="8" t="e">
        <f t="shared" si="8"/>
        <v>#VALUE!</v>
      </c>
      <c r="N12" s="3" t="e">
        <f t="shared" si="9"/>
        <v>#VALUE!</v>
      </c>
      <c r="O12" s="3" t="e">
        <f t="shared" si="10"/>
        <v>#VALUE!</v>
      </c>
      <c r="P12" s="3">
        <v>433</v>
      </c>
      <c r="Q12" s="3">
        <v>193832</v>
      </c>
      <c r="R12" s="3">
        <v>4</v>
      </c>
      <c r="T12" t="e">
        <f t="shared" si="12"/>
        <v>#VALUE!</v>
      </c>
      <c r="U12" t="e">
        <f t="shared" si="11"/>
        <v>#VALUE!</v>
      </c>
    </row>
    <row r="13" spans="1:27" x14ac:dyDescent="0.35">
      <c r="A13" s="1">
        <v>12</v>
      </c>
      <c r="B13" s="8">
        <v>4</v>
      </c>
      <c r="C13" s="3" t="e">
        <f t="shared" si="4"/>
        <v>#VALUE!</v>
      </c>
      <c r="D13" s="8" t="e">
        <f t="shared" si="0"/>
        <v>#VALUE!</v>
      </c>
      <c r="E13" s="3" t="e">
        <f t="shared" si="5"/>
        <v>#VALUE!</v>
      </c>
      <c r="F13" s="8" t="e">
        <f t="shared" si="6"/>
        <v>#VALUE!</v>
      </c>
      <c r="G13" s="3" t="e">
        <f t="shared" si="1"/>
        <v>#VALUE!</v>
      </c>
      <c r="H13" s="3">
        <v>500</v>
      </c>
      <c r="I13" s="8" t="e">
        <f t="shared" si="2"/>
        <v>#VALUE!</v>
      </c>
      <c r="J13" s="3">
        <v>156581</v>
      </c>
      <c r="K13" s="3" t="e">
        <f t="shared" si="3"/>
        <v>#VALUE!</v>
      </c>
      <c r="L13" s="8" t="e">
        <f t="shared" si="7"/>
        <v>#VALUE!</v>
      </c>
      <c r="M13" s="8" t="e">
        <f t="shared" si="8"/>
        <v>#VALUE!</v>
      </c>
      <c r="N13" s="3" t="e">
        <f t="shared" si="9"/>
        <v>#VALUE!</v>
      </c>
      <c r="O13" s="3" t="e">
        <f t="shared" si="10"/>
        <v>#VALUE!</v>
      </c>
      <c r="P13" s="3">
        <v>254</v>
      </c>
      <c r="Q13" s="3">
        <v>198167</v>
      </c>
      <c r="R13" s="3">
        <v>3</v>
      </c>
      <c r="T13" t="e">
        <f t="shared" si="12"/>
        <v>#VALUE!</v>
      </c>
      <c r="U13" t="e">
        <f t="shared" si="11"/>
        <v>#VALUE!</v>
      </c>
      <c r="W13" s="7" t="s">
        <v>50</v>
      </c>
      <c r="X13" s="7" t="s">
        <v>51</v>
      </c>
    </row>
    <row r="14" spans="1:27" x14ac:dyDescent="0.35">
      <c r="A14" s="1">
        <v>13</v>
      </c>
      <c r="B14" s="8">
        <v>95</v>
      </c>
      <c r="C14" s="3" t="e">
        <f t="shared" si="4"/>
        <v>#VALUE!</v>
      </c>
      <c r="D14" s="8" t="e">
        <f t="shared" si="0"/>
        <v>#VALUE!</v>
      </c>
      <c r="E14" s="3" t="e">
        <f t="shared" si="5"/>
        <v>#VALUE!</v>
      </c>
      <c r="F14" s="8" t="e">
        <f t="shared" si="6"/>
        <v>#VALUE!</v>
      </c>
      <c r="G14" s="3" t="e">
        <f t="shared" si="1"/>
        <v>#VALUE!</v>
      </c>
      <c r="H14" s="3">
        <v>229</v>
      </c>
      <c r="I14" s="8" t="e">
        <f t="shared" si="2"/>
        <v>#VALUE!</v>
      </c>
      <c r="J14" s="3">
        <v>117061</v>
      </c>
      <c r="K14" s="3" t="e">
        <f t="shared" si="3"/>
        <v>#VALUE!</v>
      </c>
      <c r="L14" s="8" t="e">
        <f t="shared" si="7"/>
        <v>#VALUE!</v>
      </c>
      <c r="M14" s="8" t="e">
        <f t="shared" si="8"/>
        <v>#VALUE!</v>
      </c>
      <c r="N14" s="3" t="e">
        <f t="shared" si="9"/>
        <v>#VALUE!</v>
      </c>
      <c r="O14" s="3" t="e">
        <f t="shared" si="10"/>
        <v>#VALUE!</v>
      </c>
      <c r="P14" s="3">
        <v>372</v>
      </c>
      <c r="Q14" s="3">
        <v>276713</v>
      </c>
      <c r="R14" s="3">
        <v>5</v>
      </c>
      <c r="T14" t="e">
        <f t="shared" si="12"/>
        <v>#VALUE!</v>
      </c>
      <c r="U14" t="e">
        <f t="shared" si="11"/>
        <v>#VALUE!</v>
      </c>
      <c r="V14" s="1" t="str">
        <f>MID(S2,5,1)</f>
        <v>C</v>
      </c>
      <c r="W14" s="6" t="e">
        <f>MOD(V14,5)</f>
        <v>#VALUE!</v>
      </c>
      <c r="X14" s="6">
        <v>2</v>
      </c>
    </row>
    <row r="15" spans="1:27" x14ac:dyDescent="0.35">
      <c r="A15" s="1">
        <v>14</v>
      </c>
      <c r="B15" s="8">
        <v>119</v>
      </c>
      <c r="C15" s="3" t="e">
        <f t="shared" si="4"/>
        <v>#VALUE!</v>
      </c>
      <c r="D15" s="8" t="e">
        <f t="shared" si="0"/>
        <v>#VALUE!</v>
      </c>
      <c r="E15" s="3" t="e">
        <f t="shared" si="5"/>
        <v>#VALUE!</v>
      </c>
      <c r="F15" s="8" t="e">
        <f t="shared" si="6"/>
        <v>#VALUE!</v>
      </c>
      <c r="G15" s="3" t="e">
        <f t="shared" si="1"/>
        <v>#VALUE!</v>
      </c>
      <c r="H15" s="3">
        <v>749</v>
      </c>
      <c r="I15" s="8" t="e">
        <f t="shared" si="2"/>
        <v>#VALUE!</v>
      </c>
      <c r="J15" s="3">
        <v>320140</v>
      </c>
      <c r="K15" s="3" t="e">
        <f t="shared" si="3"/>
        <v>#VALUE!</v>
      </c>
      <c r="L15" s="8" t="e">
        <f t="shared" si="7"/>
        <v>#VALUE!</v>
      </c>
      <c r="M15" s="8" t="e">
        <f t="shared" si="8"/>
        <v>#VALUE!</v>
      </c>
      <c r="N15" s="3" t="e">
        <f t="shared" si="9"/>
        <v>#VALUE!</v>
      </c>
      <c r="O15" s="3" t="e">
        <f t="shared" si="10"/>
        <v>#VALUE!</v>
      </c>
      <c r="P15" s="3">
        <v>230</v>
      </c>
      <c r="Q15" s="3">
        <v>213906</v>
      </c>
      <c r="R15" s="3">
        <v>3</v>
      </c>
      <c r="T15" t="e">
        <f t="shared" si="12"/>
        <v>#VALUE!</v>
      </c>
      <c r="U15" t="e">
        <f t="shared" si="11"/>
        <v>#VALUE!</v>
      </c>
      <c r="V15" s="1" t="e">
        <f>V14+1</f>
        <v>#VALUE!</v>
      </c>
      <c r="W15" s="6" t="e">
        <f t="shared" ref="W15:W18" si="14">MOD(V15,5)</f>
        <v>#VALUE!</v>
      </c>
      <c r="X15" s="6">
        <v>3</v>
      </c>
    </row>
    <row r="16" spans="1:27" x14ac:dyDescent="0.35">
      <c r="A16" s="1">
        <v>15</v>
      </c>
      <c r="B16" s="8">
        <v>131</v>
      </c>
      <c r="C16" s="3" t="e">
        <f t="shared" si="4"/>
        <v>#VALUE!</v>
      </c>
      <c r="D16" s="8" t="e">
        <f t="shared" si="0"/>
        <v>#VALUE!</v>
      </c>
      <c r="E16" s="3" t="e">
        <f t="shared" si="5"/>
        <v>#VALUE!</v>
      </c>
      <c r="F16" s="8" t="e">
        <f t="shared" si="6"/>
        <v>#VALUE!</v>
      </c>
      <c r="G16" s="3" t="e">
        <f t="shared" si="1"/>
        <v>#VALUE!</v>
      </c>
      <c r="H16" s="3">
        <v>192</v>
      </c>
      <c r="I16" s="8" t="e">
        <f t="shared" si="2"/>
        <v>#VALUE!</v>
      </c>
      <c r="J16" s="3">
        <v>272642</v>
      </c>
      <c r="K16" s="3" t="e">
        <f t="shared" si="3"/>
        <v>#VALUE!</v>
      </c>
      <c r="L16" s="8" t="e">
        <f t="shared" si="7"/>
        <v>#VALUE!</v>
      </c>
      <c r="M16" s="8" t="e">
        <f t="shared" si="8"/>
        <v>#VALUE!</v>
      </c>
      <c r="N16" s="3" t="e">
        <f t="shared" si="9"/>
        <v>#VALUE!</v>
      </c>
      <c r="O16" s="3" t="e">
        <f t="shared" si="10"/>
        <v>#VALUE!</v>
      </c>
      <c r="P16" s="3">
        <v>488</v>
      </c>
      <c r="Q16" s="3">
        <v>196442</v>
      </c>
      <c r="R16" s="3">
        <v>3</v>
      </c>
      <c r="T16" t="e">
        <f t="shared" si="12"/>
        <v>#VALUE!</v>
      </c>
      <c r="U16" t="e">
        <f t="shared" si="11"/>
        <v>#VALUE!</v>
      </c>
      <c r="V16" s="1" t="e">
        <f t="shared" ref="V16:V18" si="15">V15+1</f>
        <v>#VALUE!</v>
      </c>
      <c r="W16" s="6" t="e">
        <f t="shared" si="14"/>
        <v>#VALUE!</v>
      </c>
      <c r="X16" s="6">
        <v>4</v>
      </c>
    </row>
    <row r="17" spans="1:24" x14ac:dyDescent="0.35">
      <c r="A17" s="1">
        <v>16</v>
      </c>
      <c r="B17" s="8">
        <v>94</v>
      </c>
      <c r="C17" s="3" t="e">
        <f t="shared" si="4"/>
        <v>#VALUE!</v>
      </c>
      <c r="D17" s="8" t="e">
        <f t="shared" si="0"/>
        <v>#VALUE!</v>
      </c>
      <c r="E17" s="3" t="e">
        <f t="shared" si="5"/>
        <v>#VALUE!</v>
      </c>
      <c r="F17" s="8" t="e">
        <f t="shared" si="6"/>
        <v>#VALUE!</v>
      </c>
      <c r="G17" s="3" t="e">
        <f t="shared" si="1"/>
        <v>#VALUE!</v>
      </c>
      <c r="H17" s="3">
        <v>458</v>
      </c>
      <c r="I17" s="8" t="e">
        <f t="shared" si="2"/>
        <v>#VALUE!</v>
      </c>
      <c r="J17" s="3">
        <v>96207</v>
      </c>
      <c r="K17" s="3" t="e">
        <f t="shared" si="3"/>
        <v>#VALUE!</v>
      </c>
      <c r="L17" s="8" t="e">
        <f t="shared" si="7"/>
        <v>#VALUE!</v>
      </c>
      <c r="M17" s="8" t="e">
        <f t="shared" si="8"/>
        <v>#VALUE!</v>
      </c>
      <c r="N17" s="3" t="e">
        <f t="shared" si="9"/>
        <v>#VALUE!</v>
      </c>
      <c r="O17" s="3" t="e">
        <f t="shared" si="10"/>
        <v>#VALUE!</v>
      </c>
      <c r="P17" s="3">
        <v>312</v>
      </c>
      <c r="Q17" s="3">
        <v>153103</v>
      </c>
      <c r="R17" s="3">
        <v>3</v>
      </c>
      <c r="T17" t="e">
        <f t="shared" si="12"/>
        <v>#VALUE!</v>
      </c>
      <c r="U17" t="e">
        <f t="shared" si="11"/>
        <v>#VALUE!</v>
      </c>
      <c r="V17" s="1" t="e">
        <f t="shared" si="15"/>
        <v>#VALUE!</v>
      </c>
      <c r="W17" s="6" t="e">
        <f t="shared" si="14"/>
        <v>#VALUE!</v>
      </c>
      <c r="X17" s="6">
        <v>5</v>
      </c>
    </row>
    <row r="18" spans="1:24" x14ac:dyDescent="0.35">
      <c r="A18" s="1">
        <v>17</v>
      </c>
      <c r="B18" s="8">
        <v>223</v>
      </c>
      <c r="C18" s="3" t="e">
        <f t="shared" si="4"/>
        <v>#VALUE!</v>
      </c>
      <c r="D18" s="8" t="e">
        <f t="shared" si="0"/>
        <v>#VALUE!</v>
      </c>
      <c r="E18" s="3" t="e">
        <f t="shared" si="5"/>
        <v>#VALUE!</v>
      </c>
      <c r="F18" s="8" t="e">
        <f t="shared" si="6"/>
        <v>#VALUE!</v>
      </c>
      <c r="G18" s="3" t="e">
        <f t="shared" si="1"/>
        <v>#VALUE!</v>
      </c>
      <c r="H18" s="3">
        <v>733</v>
      </c>
      <c r="I18" s="8" t="e">
        <f t="shared" si="2"/>
        <v>#VALUE!</v>
      </c>
      <c r="J18" s="3">
        <v>255496</v>
      </c>
      <c r="K18" s="3" t="e">
        <f t="shared" si="3"/>
        <v>#VALUE!</v>
      </c>
      <c r="L18" s="8" t="e">
        <f t="shared" si="7"/>
        <v>#VALUE!</v>
      </c>
      <c r="M18" s="8" t="e">
        <f t="shared" si="8"/>
        <v>#VALUE!</v>
      </c>
      <c r="N18" s="3" t="e">
        <f t="shared" si="9"/>
        <v>#VALUE!</v>
      </c>
      <c r="O18" s="3" t="e">
        <f t="shared" si="10"/>
        <v>#VALUE!</v>
      </c>
      <c r="P18" s="3">
        <v>123</v>
      </c>
      <c r="Q18" s="3">
        <v>106922</v>
      </c>
      <c r="R18" s="3">
        <v>3</v>
      </c>
      <c r="T18" t="e">
        <f t="shared" si="12"/>
        <v>#VALUE!</v>
      </c>
      <c r="U18" t="e">
        <f t="shared" si="11"/>
        <v>#VALUE!</v>
      </c>
      <c r="V18" s="1" t="e">
        <f t="shared" si="15"/>
        <v>#VALUE!</v>
      </c>
      <c r="W18" s="6" t="e">
        <f t="shared" si="14"/>
        <v>#VALUE!</v>
      </c>
      <c r="X18" s="6">
        <v>6</v>
      </c>
    </row>
    <row r="19" spans="1:24" x14ac:dyDescent="0.35">
      <c r="A19" s="1">
        <v>18</v>
      </c>
      <c r="B19" s="8">
        <v>59</v>
      </c>
      <c r="C19" s="3" t="e">
        <f t="shared" si="4"/>
        <v>#VALUE!</v>
      </c>
      <c r="D19" s="8" t="e">
        <f t="shared" si="0"/>
        <v>#VALUE!</v>
      </c>
      <c r="E19" s="3" t="e">
        <f t="shared" si="5"/>
        <v>#VALUE!</v>
      </c>
      <c r="F19" s="8" t="e">
        <f t="shared" si="6"/>
        <v>#VALUE!</v>
      </c>
      <c r="G19" s="3" t="e">
        <f t="shared" si="1"/>
        <v>#VALUE!</v>
      </c>
      <c r="H19" s="3">
        <v>197</v>
      </c>
      <c r="I19" s="8" t="e">
        <f t="shared" si="2"/>
        <v>#VALUE!</v>
      </c>
      <c r="J19" s="3">
        <v>261156</v>
      </c>
      <c r="K19" s="3" t="e">
        <f t="shared" si="3"/>
        <v>#VALUE!</v>
      </c>
      <c r="L19" s="8" t="e">
        <f t="shared" si="7"/>
        <v>#VALUE!</v>
      </c>
      <c r="M19" s="8" t="e">
        <f t="shared" si="8"/>
        <v>#VALUE!</v>
      </c>
      <c r="N19" s="3" t="e">
        <f t="shared" si="9"/>
        <v>#VALUE!</v>
      </c>
      <c r="O19" s="3" t="e">
        <f t="shared" si="10"/>
        <v>#VALUE!</v>
      </c>
      <c r="P19" s="3">
        <v>167</v>
      </c>
      <c r="Q19" s="3">
        <v>338623</v>
      </c>
      <c r="R19" s="3">
        <v>4</v>
      </c>
      <c r="T19" t="e">
        <f t="shared" si="12"/>
        <v>#VALUE!</v>
      </c>
      <c r="U19" t="e">
        <f t="shared" si="11"/>
        <v>#VALUE!</v>
      </c>
      <c r="W19"/>
      <c r="X19"/>
    </row>
    <row r="20" spans="1:24" x14ac:dyDescent="0.35">
      <c r="A20" s="1">
        <v>19</v>
      </c>
      <c r="B20" s="8">
        <v>73</v>
      </c>
      <c r="C20" s="3" t="e">
        <f t="shared" si="4"/>
        <v>#VALUE!</v>
      </c>
      <c r="D20" s="8" t="e">
        <f t="shared" si="0"/>
        <v>#VALUE!</v>
      </c>
      <c r="E20" s="3" t="e">
        <f t="shared" si="5"/>
        <v>#VALUE!</v>
      </c>
      <c r="F20" s="8" t="e">
        <f t="shared" si="6"/>
        <v>#VALUE!</v>
      </c>
      <c r="G20" s="3" t="e">
        <f t="shared" si="1"/>
        <v>#VALUE!</v>
      </c>
      <c r="H20" s="3">
        <v>270</v>
      </c>
      <c r="I20" s="8" t="e">
        <f t="shared" si="2"/>
        <v>#VALUE!</v>
      </c>
      <c r="J20" s="3">
        <v>136078</v>
      </c>
      <c r="K20" s="3" t="e">
        <f t="shared" si="3"/>
        <v>#VALUE!</v>
      </c>
      <c r="L20" s="8" t="e">
        <f t="shared" si="7"/>
        <v>#VALUE!</v>
      </c>
      <c r="M20" s="8" t="e">
        <f t="shared" si="8"/>
        <v>#VALUE!</v>
      </c>
      <c r="N20" s="3" t="e">
        <f t="shared" si="9"/>
        <v>#VALUE!</v>
      </c>
      <c r="O20" s="3" t="e">
        <f t="shared" si="10"/>
        <v>#VALUE!</v>
      </c>
      <c r="P20" s="3">
        <v>146</v>
      </c>
      <c r="Q20" s="3">
        <v>204613</v>
      </c>
      <c r="R20" s="3">
        <v>3</v>
      </c>
      <c r="T20" t="e">
        <f t="shared" si="12"/>
        <v>#VALUE!</v>
      </c>
      <c r="U20" t="e">
        <f t="shared" si="11"/>
        <v>#VALUE!</v>
      </c>
      <c r="W20"/>
      <c r="X20"/>
    </row>
    <row r="21" spans="1:24" x14ac:dyDescent="0.35">
      <c r="A21" s="1">
        <v>20</v>
      </c>
      <c r="B21" s="8">
        <v>251</v>
      </c>
      <c r="C21" s="3" t="e">
        <f t="shared" si="4"/>
        <v>#VALUE!</v>
      </c>
      <c r="D21" s="8" t="e">
        <f t="shared" si="0"/>
        <v>#VALUE!</v>
      </c>
      <c r="E21" s="3" t="e">
        <f t="shared" si="5"/>
        <v>#VALUE!</v>
      </c>
      <c r="F21" s="8" t="e">
        <f t="shared" si="6"/>
        <v>#VALUE!</v>
      </c>
      <c r="G21" s="3" t="e">
        <f t="shared" si="1"/>
        <v>#VALUE!</v>
      </c>
      <c r="H21" s="3">
        <v>795</v>
      </c>
      <c r="I21" s="8" t="e">
        <f t="shared" si="2"/>
        <v>#VALUE!</v>
      </c>
      <c r="J21" s="3">
        <v>243914</v>
      </c>
      <c r="K21" s="3" t="e">
        <f t="shared" si="3"/>
        <v>#VALUE!</v>
      </c>
      <c r="L21" s="8" t="e">
        <f t="shared" si="7"/>
        <v>#VALUE!</v>
      </c>
      <c r="M21" s="8" t="e">
        <f t="shared" si="8"/>
        <v>#VALUE!</v>
      </c>
      <c r="N21" s="3" t="e">
        <f t="shared" si="9"/>
        <v>#VALUE!</v>
      </c>
      <c r="O21" s="3" t="e">
        <f t="shared" si="10"/>
        <v>#VALUE!</v>
      </c>
      <c r="P21" s="3">
        <v>737</v>
      </c>
      <c r="Q21" s="3">
        <v>233725</v>
      </c>
      <c r="R21" s="3">
        <v>4</v>
      </c>
      <c r="T21" t="e">
        <f t="shared" si="12"/>
        <v>#VALUE!</v>
      </c>
      <c r="U21" t="e">
        <f t="shared" si="11"/>
        <v>#VALUE!</v>
      </c>
      <c r="W21" s="7" t="s">
        <v>50</v>
      </c>
      <c r="X21" s="7" t="s">
        <v>51</v>
      </c>
    </row>
    <row r="22" spans="1:24" x14ac:dyDescent="0.35">
      <c r="A22" s="1">
        <v>21</v>
      </c>
      <c r="B22" s="8">
        <v>139</v>
      </c>
      <c r="C22" s="3" t="e">
        <f t="shared" si="4"/>
        <v>#VALUE!</v>
      </c>
      <c r="D22" s="8" t="e">
        <f t="shared" si="0"/>
        <v>#VALUE!</v>
      </c>
      <c r="E22" s="3" t="e">
        <f t="shared" si="5"/>
        <v>#VALUE!</v>
      </c>
      <c r="F22" s="8" t="e">
        <f t="shared" si="6"/>
        <v>#VALUE!</v>
      </c>
      <c r="G22" s="3" t="e">
        <f t="shared" si="1"/>
        <v>#VALUE!</v>
      </c>
      <c r="H22" s="3">
        <v>213</v>
      </c>
      <c r="I22" s="8" t="e">
        <f t="shared" si="2"/>
        <v>#VALUE!</v>
      </c>
      <c r="J22" s="3">
        <v>132497</v>
      </c>
      <c r="K22" s="3" t="e">
        <f t="shared" si="3"/>
        <v>#VALUE!</v>
      </c>
      <c r="L22" s="8" t="e">
        <f t="shared" si="7"/>
        <v>#VALUE!</v>
      </c>
      <c r="M22" s="8" t="e">
        <f t="shared" si="8"/>
        <v>#VALUE!</v>
      </c>
      <c r="N22" s="3" t="e">
        <f t="shared" si="9"/>
        <v>#VALUE!</v>
      </c>
      <c r="O22" s="3" t="e">
        <f t="shared" si="10"/>
        <v>#VALUE!</v>
      </c>
      <c r="P22" s="3">
        <v>311</v>
      </c>
      <c r="Q22" s="3">
        <v>168106</v>
      </c>
      <c r="R22" s="3">
        <v>2</v>
      </c>
      <c r="T22" t="e">
        <f t="shared" si="12"/>
        <v>#VALUE!</v>
      </c>
      <c r="U22" t="e">
        <f t="shared" si="11"/>
        <v>#VALUE!</v>
      </c>
      <c r="W22" s="6" t="str">
        <f>MID(S2,3,5)</f>
        <v>LECCI</v>
      </c>
      <c r="X22" s="6" t="e">
        <f>W22+300000</f>
        <v>#VALUE!</v>
      </c>
    </row>
    <row r="23" spans="1:24" x14ac:dyDescent="0.35">
      <c r="A23" s="1">
        <v>22</v>
      </c>
      <c r="B23" s="8">
        <v>125</v>
      </c>
      <c r="C23" s="3" t="e">
        <f t="shared" si="4"/>
        <v>#VALUE!</v>
      </c>
      <c r="D23" s="8" t="e">
        <f t="shared" si="0"/>
        <v>#VALUE!</v>
      </c>
      <c r="E23" s="3" t="e">
        <f t="shared" si="5"/>
        <v>#VALUE!</v>
      </c>
      <c r="F23" s="8" t="e">
        <f t="shared" si="6"/>
        <v>#VALUE!</v>
      </c>
      <c r="G23" s="3" t="e">
        <f t="shared" si="1"/>
        <v>#VALUE!</v>
      </c>
      <c r="H23" s="3">
        <v>158</v>
      </c>
      <c r="I23" s="8" t="e">
        <f t="shared" si="2"/>
        <v>#VALUE!</v>
      </c>
      <c r="J23" s="3">
        <v>116959</v>
      </c>
      <c r="K23" s="3" t="e">
        <f t="shared" si="3"/>
        <v>#VALUE!</v>
      </c>
      <c r="L23" s="8" t="e">
        <f t="shared" si="7"/>
        <v>#VALUE!</v>
      </c>
      <c r="M23" s="8" t="e">
        <f t="shared" si="8"/>
        <v>#VALUE!</v>
      </c>
      <c r="N23" s="3" t="e">
        <f t="shared" si="9"/>
        <v>#VALUE!</v>
      </c>
      <c r="O23" s="3" t="e">
        <f t="shared" si="10"/>
        <v>#VALUE!</v>
      </c>
      <c r="P23" s="3">
        <v>213</v>
      </c>
      <c r="Q23" s="3">
        <v>215669</v>
      </c>
      <c r="R23" s="3">
        <v>3</v>
      </c>
      <c r="T23" t="e">
        <f t="shared" si="12"/>
        <v>#VALUE!</v>
      </c>
      <c r="U23" t="e">
        <f t="shared" si="11"/>
        <v>#VALUE!</v>
      </c>
      <c r="W23" s="6" t="str">
        <f>MID(S2,3,2)</f>
        <v>LE</v>
      </c>
      <c r="X23" t="e">
        <f>DEC2BIN(W23)</f>
        <v>#VALUE!</v>
      </c>
    </row>
    <row r="24" spans="1:24" x14ac:dyDescent="0.35">
      <c r="A24" s="1">
        <v>23</v>
      </c>
      <c r="B24" s="8">
        <v>265</v>
      </c>
      <c r="C24" s="3" t="e">
        <f t="shared" si="4"/>
        <v>#VALUE!</v>
      </c>
      <c r="D24" s="8" t="e">
        <f t="shared" si="0"/>
        <v>#VALUE!</v>
      </c>
      <c r="E24" s="3" t="e">
        <f t="shared" si="5"/>
        <v>#VALUE!</v>
      </c>
      <c r="F24" s="8" t="e">
        <f t="shared" si="6"/>
        <v>#VALUE!</v>
      </c>
      <c r="G24" s="3" t="e">
        <f t="shared" si="1"/>
        <v>#VALUE!</v>
      </c>
      <c r="H24" s="3">
        <v>650</v>
      </c>
      <c r="I24" s="8" t="e">
        <f t="shared" si="2"/>
        <v>#VALUE!</v>
      </c>
      <c r="J24" s="3">
        <v>236957</v>
      </c>
      <c r="K24" s="3" t="e">
        <f t="shared" si="3"/>
        <v>#VALUE!</v>
      </c>
      <c r="L24" s="8" t="e">
        <f t="shared" si="7"/>
        <v>#VALUE!</v>
      </c>
      <c r="M24" s="8" t="e">
        <f t="shared" si="8"/>
        <v>#VALUE!</v>
      </c>
      <c r="N24" s="3" t="e">
        <f t="shared" si="9"/>
        <v>#VALUE!</v>
      </c>
      <c r="O24" s="3" t="e">
        <f t="shared" si="10"/>
        <v>#VALUE!</v>
      </c>
      <c r="P24" s="3">
        <v>336</v>
      </c>
      <c r="Q24" s="3">
        <v>122995</v>
      </c>
      <c r="R24" s="3">
        <v>2</v>
      </c>
      <c r="T24" t="e">
        <f t="shared" si="12"/>
        <v>#VALUE!</v>
      </c>
      <c r="U24" t="e">
        <f t="shared" si="11"/>
        <v>#VALUE!</v>
      </c>
      <c r="W24"/>
      <c r="X24"/>
    </row>
    <row r="25" spans="1:24" x14ac:dyDescent="0.35">
      <c r="A25" s="1">
        <v>24</v>
      </c>
      <c r="B25" s="8">
        <v>110</v>
      </c>
      <c r="C25" s="3" t="e">
        <f t="shared" si="4"/>
        <v>#VALUE!</v>
      </c>
      <c r="D25" s="8" t="e">
        <f t="shared" si="0"/>
        <v>#VALUE!</v>
      </c>
      <c r="E25" s="3" t="e">
        <f t="shared" si="5"/>
        <v>#VALUE!</v>
      </c>
      <c r="F25" s="8" t="e">
        <f t="shared" si="6"/>
        <v>#VALUE!</v>
      </c>
      <c r="G25" s="3" t="e">
        <f t="shared" si="1"/>
        <v>#VALUE!</v>
      </c>
      <c r="H25" s="3">
        <v>489</v>
      </c>
      <c r="I25" s="8" t="e">
        <f t="shared" si="2"/>
        <v>#VALUE!</v>
      </c>
      <c r="J25" s="3">
        <v>265041</v>
      </c>
      <c r="K25" s="3" t="e">
        <f t="shared" si="3"/>
        <v>#VALUE!</v>
      </c>
      <c r="L25" s="8" t="e">
        <f t="shared" si="7"/>
        <v>#VALUE!</v>
      </c>
      <c r="M25" s="8" t="e">
        <f t="shared" si="8"/>
        <v>#VALUE!</v>
      </c>
      <c r="N25" s="3" t="e">
        <f t="shared" si="9"/>
        <v>#VALUE!</v>
      </c>
      <c r="O25" s="3" t="e">
        <f t="shared" si="10"/>
        <v>#VALUE!</v>
      </c>
      <c r="P25" s="3">
        <v>250</v>
      </c>
      <c r="Q25" s="3">
        <v>183711</v>
      </c>
      <c r="R25" s="3">
        <v>5</v>
      </c>
      <c r="T25" t="e">
        <f t="shared" si="12"/>
        <v>#VALUE!</v>
      </c>
      <c r="U25" t="e">
        <f t="shared" si="11"/>
        <v>#VALUE!</v>
      </c>
    </row>
    <row r="26" spans="1:24" x14ac:dyDescent="0.35">
      <c r="A26" s="1">
        <v>25</v>
      </c>
      <c r="B26" s="8">
        <v>42</v>
      </c>
      <c r="C26" s="3" t="e">
        <f t="shared" si="4"/>
        <v>#VALUE!</v>
      </c>
      <c r="D26" s="8" t="e">
        <f t="shared" si="0"/>
        <v>#VALUE!</v>
      </c>
      <c r="E26" s="3" t="e">
        <f t="shared" si="5"/>
        <v>#VALUE!</v>
      </c>
      <c r="F26" s="8" t="e">
        <f t="shared" si="6"/>
        <v>#VALUE!</v>
      </c>
      <c r="G26" s="3" t="e">
        <f t="shared" si="1"/>
        <v>#VALUE!</v>
      </c>
      <c r="H26" s="3">
        <v>107</v>
      </c>
      <c r="I26" s="8" t="e">
        <f t="shared" si="2"/>
        <v>#VALUE!</v>
      </c>
      <c r="J26" s="3">
        <v>250280</v>
      </c>
      <c r="K26" s="3" t="e">
        <f t="shared" si="3"/>
        <v>#VALUE!</v>
      </c>
      <c r="L26" s="8" t="e">
        <f t="shared" si="7"/>
        <v>#VALUE!</v>
      </c>
      <c r="M26" s="8" t="e">
        <f t="shared" si="8"/>
        <v>#VALUE!</v>
      </c>
      <c r="N26" s="3" t="e">
        <f t="shared" si="9"/>
        <v>#VALUE!</v>
      </c>
      <c r="O26" s="3" t="e">
        <f t="shared" si="10"/>
        <v>#VALUE!</v>
      </c>
      <c r="P26" s="3">
        <v>345</v>
      </c>
      <c r="Q26" s="3">
        <v>325292</v>
      </c>
      <c r="R26" s="3">
        <v>5</v>
      </c>
      <c r="T26" t="e">
        <f t="shared" si="12"/>
        <v>#VALUE!</v>
      </c>
      <c r="U26" t="e">
        <f t="shared" si="11"/>
        <v>#VALUE!</v>
      </c>
    </row>
    <row r="27" spans="1:24" x14ac:dyDescent="0.35">
      <c r="A27" s="1">
        <v>26</v>
      </c>
      <c r="B27" s="8">
        <v>91</v>
      </c>
      <c r="C27" s="3" t="e">
        <f t="shared" si="4"/>
        <v>#VALUE!</v>
      </c>
      <c r="D27" s="8" t="e">
        <f t="shared" si="0"/>
        <v>#VALUE!</v>
      </c>
      <c r="E27" s="3" t="e">
        <f t="shared" si="5"/>
        <v>#VALUE!</v>
      </c>
      <c r="F27" s="8" t="e">
        <f t="shared" si="6"/>
        <v>#VALUE!</v>
      </c>
      <c r="G27" s="3" t="e">
        <f t="shared" si="1"/>
        <v>#VALUE!</v>
      </c>
      <c r="H27" s="3">
        <v>341</v>
      </c>
      <c r="I27" s="8" t="e">
        <f t="shared" si="2"/>
        <v>#VALUE!</v>
      </c>
      <c r="J27" s="3">
        <v>134750</v>
      </c>
      <c r="K27" s="3" t="e">
        <f t="shared" si="3"/>
        <v>#VALUE!</v>
      </c>
      <c r="L27" s="8" t="e">
        <f t="shared" si="7"/>
        <v>#VALUE!</v>
      </c>
      <c r="M27" s="8" t="e">
        <f t="shared" si="8"/>
        <v>#VALUE!</v>
      </c>
      <c r="N27" s="3" t="e">
        <f t="shared" si="9"/>
        <v>#VALUE!</v>
      </c>
      <c r="O27" s="3" t="e">
        <f t="shared" si="10"/>
        <v>#VALUE!</v>
      </c>
      <c r="P27" s="3">
        <v>144</v>
      </c>
      <c r="Q27" s="3">
        <v>254758</v>
      </c>
      <c r="R27" s="3">
        <v>3</v>
      </c>
      <c r="T27" t="e">
        <f t="shared" si="12"/>
        <v>#VALUE!</v>
      </c>
      <c r="U27" t="e">
        <f t="shared" si="11"/>
        <v>#VALUE!</v>
      </c>
    </row>
    <row r="28" spans="1:24" x14ac:dyDescent="0.35">
      <c r="A28" s="1">
        <v>27</v>
      </c>
      <c r="B28" s="8">
        <v>228</v>
      </c>
      <c r="C28" s="3" t="e">
        <f t="shared" si="4"/>
        <v>#VALUE!</v>
      </c>
      <c r="D28" s="8" t="e">
        <f t="shared" si="0"/>
        <v>#VALUE!</v>
      </c>
      <c r="E28" s="3" t="e">
        <f t="shared" si="5"/>
        <v>#VALUE!</v>
      </c>
      <c r="F28" s="8" t="e">
        <f t="shared" si="6"/>
        <v>#VALUE!</v>
      </c>
      <c r="G28" s="3" t="e">
        <f t="shared" si="1"/>
        <v>#VALUE!</v>
      </c>
      <c r="H28" s="3">
        <v>525</v>
      </c>
      <c r="I28" s="8" t="e">
        <f t="shared" si="2"/>
        <v>#VALUE!</v>
      </c>
      <c r="J28" s="3">
        <v>216612</v>
      </c>
      <c r="K28" s="3" t="e">
        <f t="shared" si="3"/>
        <v>#VALUE!</v>
      </c>
      <c r="L28" s="8" t="e">
        <f t="shared" si="7"/>
        <v>#VALUE!</v>
      </c>
      <c r="M28" s="8" t="e">
        <f t="shared" si="8"/>
        <v>#VALUE!</v>
      </c>
      <c r="N28" s="3" t="e">
        <f t="shared" si="9"/>
        <v>#VALUE!</v>
      </c>
      <c r="O28" s="3" t="e">
        <f t="shared" si="10"/>
        <v>#VALUE!</v>
      </c>
      <c r="P28" s="3">
        <v>317</v>
      </c>
      <c r="Q28" s="3">
        <v>96849</v>
      </c>
      <c r="R28" s="3">
        <v>3</v>
      </c>
      <c r="T28" t="e">
        <f t="shared" si="12"/>
        <v>#VALUE!</v>
      </c>
      <c r="U28" t="e">
        <f t="shared" si="11"/>
        <v>#VALUE!</v>
      </c>
    </row>
    <row r="29" spans="1:24" x14ac:dyDescent="0.35">
      <c r="A29" s="1">
        <v>28</v>
      </c>
      <c r="B29" s="8">
        <v>241</v>
      </c>
      <c r="C29" s="3" t="e">
        <f t="shared" si="4"/>
        <v>#VALUE!</v>
      </c>
      <c r="D29" s="8" t="e">
        <f t="shared" si="0"/>
        <v>#VALUE!</v>
      </c>
      <c r="E29" s="3" t="e">
        <f t="shared" si="5"/>
        <v>#VALUE!</v>
      </c>
      <c r="F29" s="8" t="e">
        <f t="shared" si="6"/>
        <v>#VALUE!</v>
      </c>
      <c r="G29" s="3" t="e">
        <f t="shared" si="1"/>
        <v>#VALUE!</v>
      </c>
      <c r="H29" s="3">
        <v>859</v>
      </c>
      <c r="I29" s="8" t="e">
        <f t="shared" si="2"/>
        <v>#VALUE!</v>
      </c>
      <c r="J29" s="3">
        <v>168468</v>
      </c>
      <c r="K29" s="3" t="e">
        <f t="shared" si="3"/>
        <v>#VALUE!</v>
      </c>
      <c r="L29" s="8" t="e">
        <f t="shared" si="7"/>
        <v>#VALUE!</v>
      </c>
      <c r="M29" s="8" t="e">
        <f t="shared" si="8"/>
        <v>#VALUE!</v>
      </c>
      <c r="N29" s="3" t="e">
        <f t="shared" si="9"/>
        <v>#VALUE!</v>
      </c>
      <c r="O29" s="3" t="e">
        <f t="shared" si="10"/>
        <v>#VALUE!</v>
      </c>
      <c r="P29" s="3">
        <v>174</v>
      </c>
      <c r="Q29" s="3">
        <v>140397</v>
      </c>
      <c r="R29" s="3">
        <v>4</v>
      </c>
      <c r="T29" t="e">
        <f t="shared" si="12"/>
        <v>#VALUE!</v>
      </c>
      <c r="U29" t="e">
        <f t="shared" si="11"/>
        <v>#VALUE!</v>
      </c>
    </row>
    <row r="30" spans="1:24" x14ac:dyDescent="0.35">
      <c r="A30" s="1">
        <v>29</v>
      </c>
      <c r="B30" s="8">
        <v>77</v>
      </c>
      <c r="C30" s="3" t="e">
        <f t="shared" si="4"/>
        <v>#VALUE!</v>
      </c>
      <c r="D30" s="8" t="e">
        <f t="shared" si="0"/>
        <v>#VALUE!</v>
      </c>
      <c r="E30" s="3" t="e">
        <f t="shared" si="5"/>
        <v>#VALUE!</v>
      </c>
      <c r="F30" s="8" t="e">
        <f t="shared" si="6"/>
        <v>#VALUE!</v>
      </c>
      <c r="G30" s="3" t="e">
        <f t="shared" si="1"/>
        <v>#VALUE!</v>
      </c>
      <c r="H30" s="3">
        <v>269</v>
      </c>
      <c r="I30" s="8" t="e">
        <f t="shared" si="2"/>
        <v>#VALUE!</v>
      </c>
      <c r="J30" s="3">
        <v>199502</v>
      </c>
      <c r="K30" s="3" t="e">
        <f t="shared" si="3"/>
        <v>#VALUE!</v>
      </c>
      <c r="L30" s="8" t="e">
        <f t="shared" si="7"/>
        <v>#VALUE!</v>
      </c>
      <c r="M30" s="8" t="e">
        <f t="shared" si="8"/>
        <v>#VALUE!</v>
      </c>
      <c r="N30" s="3" t="e">
        <f t="shared" si="9"/>
        <v>#VALUE!</v>
      </c>
      <c r="O30" s="3" t="e">
        <f t="shared" si="10"/>
        <v>#VALUE!</v>
      </c>
      <c r="P30" s="3">
        <v>179</v>
      </c>
      <c r="Q30" s="3">
        <v>245965</v>
      </c>
      <c r="R30" s="3">
        <v>5</v>
      </c>
      <c r="T30" t="e">
        <f t="shared" si="12"/>
        <v>#VALUE!</v>
      </c>
      <c r="U30" t="e">
        <f t="shared" si="11"/>
        <v>#VALUE!</v>
      </c>
    </row>
    <row r="31" spans="1:24" x14ac:dyDescent="0.35">
      <c r="A31" s="1">
        <v>30</v>
      </c>
      <c r="B31" s="8">
        <v>24</v>
      </c>
      <c r="C31" s="3" t="e">
        <f t="shared" si="4"/>
        <v>#VALUE!</v>
      </c>
      <c r="D31" s="8" t="e">
        <f t="shared" si="0"/>
        <v>#VALUE!</v>
      </c>
      <c r="E31" s="3" t="e">
        <f t="shared" si="5"/>
        <v>#VALUE!</v>
      </c>
      <c r="F31" s="8" t="e">
        <f t="shared" si="6"/>
        <v>#VALUE!</v>
      </c>
      <c r="G31" s="3" t="e">
        <f t="shared" si="1"/>
        <v>#VALUE!</v>
      </c>
      <c r="H31" s="3">
        <v>250</v>
      </c>
      <c r="I31" s="8" t="e">
        <f t="shared" si="2"/>
        <v>#VALUE!</v>
      </c>
      <c r="J31" s="3">
        <v>183711</v>
      </c>
      <c r="K31" s="3" t="e">
        <f t="shared" si="3"/>
        <v>#VALUE!</v>
      </c>
      <c r="L31" s="8" t="e">
        <f t="shared" si="7"/>
        <v>#VALUE!</v>
      </c>
      <c r="M31" s="8" t="e">
        <f t="shared" si="8"/>
        <v>#VALUE!</v>
      </c>
      <c r="N31" s="3" t="e">
        <f t="shared" si="9"/>
        <v>#VALUE!</v>
      </c>
      <c r="O31" s="3" t="e">
        <f t="shared" si="10"/>
        <v>#VALUE!</v>
      </c>
      <c r="P31" s="3">
        <v>298</v>
      </c>
      <c r="Q31" s="3">
        <v>135485</v>
      </c>
      <c r="R31" s="3">
        <v>3</v>
      </c>
      <c r="T31" t="e">
        <f t="shared" si="12"/>
        <v>#VALUE!</v>
      </c>
      <c r="U31" t="e">
        <f t="shared" si="11"/>
        <v>#VALUE!</v>
      </c>
    </row>
    <row r="32" spans="1:24" x14ac:dyDescent="0.35">
      <c r="A32" s="1">
        <v>31</v>
      </c>
      <c r="B32" s="8">
        <v>126</v>
      </c>
      <c r="C32" s="3" t="e">
        <f t="shared" si="4"/>
        <v>#VALUE!</v>
      </c>
      <c r="D32" s="8" t="e">
        <f t="shared" si="0"/>
        <v>#VALUE!</v>
      </c>
      <c r="E32" s="3" t="e">
        <f t="shared" si="5"/>
        <v>#VALUE!</v>
      </c>
      <c r="F32" s="8" t="e">
        <f t="shared" si="6"/>
        <v>#VALUE!</v>
      </c>
      <c r="G32" s="3" t="e">
        <f t="shared" si="1"/>
        <v>#VALUE!</v>
      </c>
      <c r="H32" s="3">
        <v>245</v>
      </c>
      <c r="I32" s="8" t="e">
        <f t="shared" si="2"/>
        <v>#VALUE!</v>
      </c>
      <c r="J32" s="3">
        <v>104995</v>
      </c>
      <c r="K32" s="3" t="e">
        <f t="shared" si="3"/>
        <v>#VALUE!</v>
      </c>
      <c r="L32" s="8" t="e">
        <f t="shared" si="7"/>
        <v>#VALUE!</v>
      </c>
      <c r="M32" s="8" t="e">
        <f t="shared" si="8"/>
        <v>#VALUE!</v>
      </c>
      <c r="N32" s="3" t="e">
        <f t="shared" si="9"/>
        <v>#VALUE!</v>
      </c>
      <c r="O32" s="3" t="e">
        <f t="shared" si="10"/>
        <v>#VALUE!</v>
      </c>
      <c r="P32" s="3">
        <v>177</v>
      </c>
      <c r="Q32" s="3">
        <v>203153</v>
      </c>
      <c r="R32" s="3">
        <v>4</v>
      </c>
      <c r="T32" t="e">
        <f t="shared" si="12"/>
        <v>#VALUE!</v>
      </c>
      <c r="U32" t="e">
        <f t="shared" si="11"/>
        <v>#VALUE!</v>
      </c>
    </row>
    <row r="33" spans="1:21" x14ac:dyDescent="0.35">
      <c r="A33" s="1">
        <v>32</v>
      </c>
      <c r="B33" s="8">
        <v>29</v>
      </c>
      <c r="C33" s="3" t="e">
        <f t="shared" si="4"/>
        <v>#VALUE!</v>
      </c>
      <c r="D33" s="8" t="e">
        <f t="shared" si="0"/>
        <v>#VALUE!</v>
      </c>
      <c r="E33" s="3" t="e">
        <f t="shared" si="5"/>
        <v>#VALUE!</v>
      </c>
      <c r="F33" s="8" t="e">
        <f t="shared" si="6"/>
        <v>#VALUE!</v>
      </c>
      <c r="G33" s="3" t="e">
        <f t="shared" si="1"/>
        <v>#VALUE!</v>
      </c>
      <c r="H33" s="3">
        <v>179</v>
      </c>
      <c r="I33" s="8" t="e">
        <f t="shared" si="2"/>
        <v>#VALUE!</v>
      </c>
      <c r="J33" s="3">
        <v>245965</v>
      </c>
      <c r="K33" s="3" t="e">
        <f t="shared" si="3"/>
        <v>#VALUE!</v>
      </c>
      <c r="L33" s="8" t="e">
        <f t="shared" si="7"/>
        <v>#VALUE!</v>
      </c>
      <c r="M33" s="8" t="e">
        <f t="shared" si="8"/>
        <v>#VALUE!</v>
      </c>
      <c r="N33" s="3" t="e">
        <f t="shared" si="9"/>
        <v>#VALUE!</v>
      </c>
      <c r="O33" s="3" t="e">
        <f t="shared" si="10"/>
        <v>#VALUE!</v>
      </c>
      <c r="P33" s="3">
        <v>433</v>
      </c>
      <c r="Q33" s="3">
        <v>160876</v>
      </c>
      <c r="R33" s="3">
        <v>3</v>
      </c>
      <c r="T33" t="e">
        <f t="shared" si="12"/>
        <v>#VALUE!</v>
      </c>
      <c r="U33" t="e">
        <f t="shared" si="11"/>
        <v>#VALUE!</v>
      </c>
    </row>
    <row r="34" spans="1:21" x14ac:dyDescent="0.35">
      <c r="A34" s="1">
        <v>33</v>
      </c>
      <c r="B34" s="8">
        <v>183</v>
      </c>
      <c r="C34" s="3" t="e">
        <f t="shared" si="4"/>
        <v>#VALUE!</v>
      </c>
      <c r="D34" s="8" t="e">
        <f t="shared" si="0"/>
        <v>#VALUE!</v>
      </c>
      <c r="E34" s="3" t="e">
        <f t="shared" si="5"/>
        <v>#VALUE!</v>
      </c>
      <c r="F34" s="8" t="e">
        <f t="shared" si="6"/>
        <v>#VALUE!</v>
      </c>
      <c r="G34" s="3" t="e">
        <f t="shared" si="1"/>
        <v>#VALUE!</v>
      </c>
      <c r="H34" s="3">
        <v>791</v>
      </c>
      <c r="I34" s="8" t="e">
        <f t="shared" si="2"/>
        <v>#VALUE!</v>
      </c>
      <c r="J34" s="3">
        <v>341000</v>
      </c>
      <c r="K34" s="3" t="e">
        <f t="shared" si="3"/>
        <v>#VALUE!</v>
      </c>
      <c r="L34" s="8" t="e">
        <f t="shared" si="7"/>
        <v>#VALUE!</v>
      </c>
      <c r="M34" s="8" t="e">
        <f t="shared" si="8"/>
        <v>#VALUE!</v>
      </c>
      <c r="N34" s="3" t="e">
        <f t="shared" si="9"/>
        <v>#VALUE!</v>
      </c>
      <c r="O34" s="3" t="e">
        <f t="shared" si="10"/>
        <v>#VALUE!</v>
      </c>
      <c r="P34" s="3">
        <v>393</v>
      </c>
      <c r="Q34" s="3">
        <v>220604</v>
      </c>
      <c r="R34" s="3">
        <v>2</v>
      </c>
      <c r="T34" t="e">
        <f t="shared" si="12"/>
        <v>#VALUE!</v>
      </c>
      <c r="U34" t="e">
        <f t="shared" si="11"/>
        <v>#VALUE!</v>
      </c>
    </row>
    <row r="35" spans="1:21" x14ac:dyDescent="0.35">
      <c r="A35" s="1">
        <v>34</v>
      </c>
      <c r="B35" s="8">
        <v>117</v>
      </c>
      <c r="C35" s="3" t="e">
        <f t="shared" si="4"/>
        <v>#VALUE!</v>
      </c>
      <c r="D35" s="8" t="e">
        <f t="shared" si="0"/>
        <v>#VALUE!</v>
      </c>
      <c r="E35" s="3" t="e">
        <f t="shared" si="5"/>
        <v>#VALUE!</v>
      </c>
      <c r="F35" s="8" t="e">
        <f t="shared" si="6"/>
        <v>#VALUE!</v>
      </c>
      <c r="G35" s="3" t="e">
        <f t="shared" si="1"/>
        <v>#VALUE!</v>
      </c>
      <c r="H35" s="3">
        <v>244</v>
      </c>
      <c r="I35" s="8" t="e">
        <f t="shared" si="2"/>
        <v>#VALUE!</v>
      </c>
      <c r="J35" s="3">
        <v>227585</v>
      </c>
      <c r="K35" s="3" t="e">
        <f t="shared" si="3"/>
        <v>#VALUE!</v>
      </c>
      <c r="L35" s="8" t="e">
        <f t="shared" si="7"/>
        <v>#VALUE!</v>
      </c>
      <c r="M35" s="8" t="e">
        <f t="shared" si="8"/>
        <v>#VALUE!</v>
      </c>
      <c r="N35" s="3" t="e">
        <f t="shared" si="9"/>
        <v>#VALUE!</v>
      </c>
      <c r="O35" s="3" t="e">
        <f t="shared" si="10"/>
        <v>#VALUE!</v>
      </c>
      <c r="P35" s="3">
        <v>180</v>
      </c>
      <c r="Q35" s="3">
        <v>219201</v>
      </c>
      <c r="R35" s="3">
        <v>4</v>
      </c>
      <c r="T35" t="e">
        <f t="shared" si="12"/>
        <v>#VALUE!</v>
      </c>
      <c r="U35" t="e">
        <f t="shared" si="11"/>
        <v>#VALUE!</v>
      </c>
    </row>
    <row r="36" spans="1:21" x14ac:dyDescent="0.35">
      <c r="A36" s="1">
        <v>35</v>
      </c>
      <c r="B36" s="8">
        <v>40</v>
      </c>
      <c r="C36" s="3" t="e">
        <f t="shared" si="4"/>
        <v>#VALUE!</v>
      </c>
      <c r="D36" s="8" t="e">
        <f t="shared" si="0"/>
        <v>#VALUE!</v>
      </c>
      <c r="E36" s="3" t="e">
        <f t="shared" si="5"/>
        <v>#VALUE!</v>
      </c>
      <c r="F36" s="8" t="e">
        <f t="shared" si="6"/>
        <v>#VALUE!</v>
      </c>
      <c r="G36" s="3" t="e">
        <f t="shared" si="1"/>
        <v>#VALUE!</v>
      </c>
      <c r="H36" s="3">
        <v>495</v>
      </c>
      <c r="I36" s="8" t="e">
        <f t="shared" si="2"/>
        <v>#VALUE!</v>
      </c>
      <c r="J36" s="3">
        <v>91474</v>
      </c>
      <c r="K36" s="3" t="e">
        <f t="shared" si="3"/>
        <v>#VALUE!</v>
      </c>
      <c r="L36" s="8" t="e">
        <f t="shared" si="7"/>
        <v>#VALUE!</v>
      </c>
      <c r="M36" s="8" t="e">
        <f t="shared" si="8"/>
        <v>#VALUE!</v>
      </c>
      <c r="N36" s="3" t="e">
        <f t="shared" si="9"/>
        <v>#VALUE!</v>
      </c>
      <c r="O36" s="3" t="e">
        <f t="shared" si="10"/>
        <v>#VALUE!</v>
      </c>
      <c r="P36" s="3">
        <v>487</v>
      </c>
      <c r="Q36" s="3">
        <v>138901</v>
      </c>
      <c r="R36" s="3">
        <v>5</v>
      </c>
      <c r="T36" t="e">
        <f t="shared" si="12"/>
        <v>#VALUE!</v>
      </c>
      <c r="U36" t="e">
        <f t="shared" si="11"/>
        <v>#VALUE!</v>
      </c>
    </row>
    <row r="37" spans="1:21" x14ac:dyDescent="0.35">
      <c r="A37" s="1">
        <v>36</v>
      </c>
      <c r="B37" s="8">
        <v>31</v>
      </c>
      <c r="C37" s="3" t="e">
        <f t="shared" si="4"/>
        <v>#VALUE!</v>
      </c>
      <c r="D37" s="8" t="e">
        <f t="shared" si="0"/>
        <v>#VALUE!</v>
      </c>
      <c r="E37" s="3" t="e">
        <f t="shared" si="5"/>
        <v>#VALUE!</v>
      </c>
      <c r="F37" s="8" t="e">
        <f t="shared" si="6"/>
        <v>#VALUE!</v>
      </c>
      <c r="G37" s="3" t="e">
        <f t="shared" si="1"/>
        <v>#VALUE!</v>
      </c>
      <c r="H37" s="3">
        <v>177</v>
      </c>
      <c r="I37" s="8" t="e">
        <f t="shared" si="2"/>
        <v>#VALUE!</v>
      </c>
      <c r="J37" s="3">
        <v>203153</v>
      </c>
      <c r="K37" s="3" t="e">
        <f t="shared" si="3"/>
        <v>#VALUE!</v>
      </c>
      <c r="L37" s="8" t="e">
        <f t="shared" si="7"/>
        <v>#VALUE!</v>
      </c>
      <c r="M37" s="8" t="e">
        <f t="shared" si="8"/>
        <v>#VALUE!</v>
      </c>
      <c r="N37" s="3" t="e">
        <f t="shared" si="9"/>
        <v>#VALUE!</v>
      </c>
      <c r="O37" s="3" t="e">
        <f t="shared" si="10"/>
        <v>#VALUE!</v>
      </c>
      <c r="P37" s="3">
        <v>446</v>
      </c>
      <c r="Q37" s="3">
        <v>229388</v>
      </c>
      <c r="R37" s="3">
        <v>3</v>
      </c>
      <c r="T37" t="e">
        <f t="shared" si="12"/>
        <v>#VALUE!</v>
      </c>
      <c r="U37" t="e">
        <f t="shared" si="11"/>
        <v>#VALUE!</v>
      </c>
    </row>
    <row r="38" spans="1:21" x14ac:dyDescent="0.35">
      <c r="A38" s="1">
        <v>37</v>
      </c>
      <c r="B38" s="8">
        <v>196</v>
      </c>
      <c r="C38" s="3" t="e">
        <f t="shared" si="4"/>
        <v>#VALUE!</v>
      </c>
      <c r="D38" s="8" t="e">
        <f t="shared" si="0"/>
        <v>#VALUE!</v>
      </c>
      <c r="E38" s="3" t="e">
        <f t="shared" si="5"/>
        <v>#VALUE!</v>
      </c>
      <c r="F38" s="8" t="e">
        <f t="shared" si="6"/>
        <v>#VALUE!</v>
      </c>
      <c r="G38" s="3" t="e">
        <f t="shared" si="1"/>
        <v>#VALUE!</v>
      </c>
      <c r="H38" s="3">
        <v>695</v>
      </c>
      <c r="I38" s="8" t="e">
        <f t="shared" si="2"/>
        <v>#VALUE!</v>
      </c>
      <c r="J38" s="3">
        <v>225661</v>
      </c>
      <c r="K38" s="3" t="e">
        <f t="shared" si="3"/>
        <v>#VALUE!</v>
      </c>
      <c r="L38" s="8" t="e">
        <f t="shared" si="7"/>
        <v>#VALUE!</v>
      </c>
      <c r="M38" s="8" t="e">
        <f t="shared" si="8"/>
        <v>#VALUE!</v>
      </c>
      <c r="N38" s="3" t="e">
        <f t="shared" si="9"/>
        <v>#VALUE!</v>
      </c>
      <c r="O38" s="3" t="e">
        <f t="shared" si="10"/>
        <v>#VALUE!</v>
      </c>
      <c r="P38" s="3">
        <v>201</v>
      </c>
      <c r="Q38" s="3">
        <v>198077</v>
      </c>
      <c r="R38" s="3">
        <v>3</v>
      </c>
      <c r="T38" t="e">
        <f t="shared" si="12"/>
        <v>#VALUE!</v>
      </c>
      <c r="U38" t="e">
        <f t="shared" si="11"/>
        <v>#VALUE!</v>
      </c>
    </row>
    <row r="39" spans="1:21" x14ac:dyDescent="0.35">
      <c r="A39" s="1">
        <v>38</v>
      </c>
      <c r="B39" s="8">
        <v>247</v>
      </c>
      <c r="C39" s="3" t="e">
        <f t="shared" si="4"/>
        <v>#VALUE!</v>
      </c>
      <c r="D39" s="8" t="e">
        <f t="shared" si="0"/>
        <v>#VALUE!</v>
      </c>
      <c r="E39" s="3" t="e">
        <f t="shared" si="5"/>
        <v>#VALUE!</v>
      </c>
      <c r="F39" s="8" t="e">
        <f t="shared" si="6"/>
        <v>#VALUE!</v>
      </c>
      <c r="G39" s="3" t="e">
        <f t="shared" si="1"/>
        <v>#VALUE!</v>
      </c>
      <c r="H39" s="3">
        <v>728</v>
      </c>
      <c r="I39" s="8" t="e">
        <f t="shared" si="2"/>
        <v>#VALUE!</v>
      </c>
      <c r="J39" s="3">
        <v>192163</v>
      </c>
      <c r="K39" s="3" t="e">
        <f t="shared" si="3"/>
        <v>#VALUE!</v>
      </c>
      <c r="L39" s="8" t="e">
        <f t="shared" si="7"/>
        <v>#VALUE!</v>
      </c>
      <c r="M39" s="8" t="e">
        <f t="shared" si="8"/>
        <v>#VALUE!</v>
      </c>
      <c r="N39" s="3" t="e">
        <f t="shared" si="9"/>
        <v>#VALUE!</v>
      </c>
      <c r="O39" s="3" t="e">
        <f t="shared" si="10"/>
        <v>#VALUE!</v>
      </c>
      <c r="P39" s="3">
        <v>132</v>
      </c>
      <c r="Q39" s="3">
        <v>92402</v>
      </c>
      <c r="R39" s="3">
        <v>3</v>
      </c>
      <c r="T39" t="e">
        <f t="shared" si="12"/>
        <v>#VALUE!</v>
      </c>
      <c r="U39" t="e">
        <f t="shared" si="11"/>
        <v>#VALUE!</v>
      </c>
    </row>
    <row r="40" spans="1:21" x14ac:dyDescent="0.35">
      <c r="A40" s="1">
        <v>39</v>
      </c>
      <c r="B40" s="8">
        <v>216</v>
      </c>
      <c r="C40" s="3" t="e">
        <f t="shared" si="4"/>
        <v>#VALUE!</v>
      </c>
      <c r="D40" s="8" t="e">
        <f t="shared" si="0"/>
        <v>#VALUE!</v>
      </c>
      <c r="E40" s="3" t="e">
        <f t="shared" si="5"/>
        <v>#VALUE!</v>
      </c>
      <c r="F40" s="8" t="e">
        <f t="shared" si="6"/>
        <v>#VALUE!</v>
      </c>
      <c r="G40" s="3" t="e">
        <f t="shared" si="1"/>
        <v>#VALUE!</v>
      </c>
      <c r="H40" s="3">
        <v>629</v>
      </c>
      <c r="I40" s="8" t="e">
        <f t="shared" si="2"/>
        <v>#VALUE!</v>
      </c>
      <c r="J40" s="3">
        <v>219424</v>
      </c>
      <c r="K40" s="3" t="e">
        <f t="shared" si="3"/>
        <v>#VALUE!</v>
      </c>
      <c r="L40" s="8" t="e">
        <f t="shared" si="7"/>
        <v>#VALUE!</v>
      </c>
      <c r="M40" s="8" t="e">
        <f t="shared" si="8"/>
        <v>#VALUE!</v>
      </c>
      <c r="N40" s="3" t="e">
        <f t="shared" si="9"/>
        <v>#VALUE!</v>
      </c>
      <c r="O40" s="3" t="e">
        <f t="shared" si="10"/>
        <v>#VALUE!</v>
      </c>
      <c r="P40" s="3">
        <v>119</v>
      </c>
      <c r="Q40" s="3">
        <v>133910</v>
      </c>
      <c r="R40" s="3">
        <v>3</v>
      </c>
      <c r="T40" t="e">
        <f t="shared" si="12"/>
        <v>#VALUE!</v>
      </c>
      <c r="U40" t="e">
        <f t="shared" si="11"/>
        <v>#VALUE!</v>
      </c>
    </row>
    <row r="41" spans="1:21" x14ac:dyDescent="0.35">
      <c r="A41" s="1">
        <v>40</v>
      </c>
      <c r="B41" s="8">
        <v>244</v>
      </c>
      <c r="C41" s="3" t="e">
        <f t="shared" si="4"/>
        <v>#VALUE!</v>
      </c>
      <c r="D41" s="8" t="e">
        <f t="shared" si="0"/>
        <v>#VALUE!</v>
      </c>
      <c r="E41" s="3" t="e">
        <f t="shared" si="5"/>
        <v>#VALUE!</v>
      </c>
      <c r="F41" s="8" t="e">
        <f t="shared" si="6"/>
        <v>#VALUE!</v>
      </c>
      <c r="G41" s="3" t="e">
        <f t="shared" si="1"/>
        <v>#VALUE!</v>
      </c>
      <c r="H41" s="3">
        <v>588</v>
      </c>
      <c r="I41" s="8" t="e">
        <f t="shared" si="2"/>
        <v>#VALUE!</v>
      </c>
      <c r="J41" s="3">
        <v>151692</v>
      </c>
      <c r="K41" s="3" t="e">
        <f t="shared" si="3"/>
        <v>#VALUE!</v>
      </c>
      <c r="L41" s="8" t="e">
        <f t="shared" si="7"/>
        <v>#VALUE!</v>
      </c>
      <c r="M41" s="8" t="e">
        <f t="shared" si="8"/>
        <v>#VALUE!</v>
      </c>
      <c r="N41" s="3" t="e">
        <f t="shared" si="9"/>
        <v>#VALUE!</v>
      </c>
      <c r="O41" s="3" t="e">
        <f t="shared" si="10"/>
        <v>#VALUE!</v>
      </c>
      <c r="P41" s="3">
        <v>495</v>
      </c>
      <c r="Q41" s="3">
        <v>91474</v>
      </c>
      <c r="R41" s="3">
        <v>4</v>
      </c>
      <c r="T41" t="e">
        <f t="shared" si="12"/>
        <v>#VALUE!</v>
      </c>
      <c r="U41" t="e">
        <f t="shared" si="11"/>
        <v>#VALUE!</v>
      </c>
    </row>
    <row r="42" spans="1:21" x14ac:dyDescent="0.35">
      <c r="A42" s="1">
        <v>41</v>
      </c>
      <c r="B42" s="8">
        <v>45</v>
      </c>
      <c r="C42" s="3" t="e">
        <f t="shared" si="4"/>
        <v>#VALUE!</v>
      </c>
      <c r="D42" s="8" t="e">
        <f t="shared" si="0"/>
        <v>#VALUE!</v>
      </c>
      <c r="E42" s="3" t="e">
        <f t="shared" si="5"/>
        <v>#VALUE!</v>
      </c>
      <c r="F42" s="8" t="e">
        <f t="shared" si="6"/>
        <v>#VALUE!</v>
      </c>
      <c r="G42" s="3" t="e">
        <f t="shared" si="1"/>
        <v>#VALUE!</v>
      </c>
      <c r="H42" s="3">
        <v>275</v>
      </c>
      <c r="I42" s="8" t="e">
        <f t="shared" si="2"/>
        <v>#VALUE!</v>
      </c>
      <c r="J42" s="3">
        <v>120359</v>
      </c>
      <c r="K42" s="3" t="e">
        <f t="shared" si="3"/>
        <v>#VALUE!</v>
      </c>
      <c r="L42" s="8" t="e">
        <f t="shared" si="7"/>
        <v>#VALUE!</v>
      </c>
      <c r="M42" s="8" t="e">
        <f t="shared" si="8"/>
        <v>#VALUE!</v>
      </c>
      <c r="N42" s="3" t="e">
        <f t="shared" si="9"/>
        <v>#VALUE!</v>
      </c>
      <c r="O42" s="3" t="e">
        <f t="shared" si="10"/>
        <v>#VALUE!</v>
      </c>
      <c r="P42" s="3">
        <v>255</v>
      </c>
      <c r="Q42" s="3">
        <v>219671</v>
      </c>
      <c r="R42" s="3">
        <v>5</v>
      </c>
      <c r="T42" t="e">
        <f t="shared" si="12"/>
        <v>#VALUE!</v>
      </c>
      <c r="U42" t="e">
        <f t="shared" si="11"/>
        <v>#VALUE!</v>
      </c>
    </row>
    <row r="43" spans="1:21" x14ac:dyDescent="0.35">
      <c r="A43" s="1">
        <v>42</v>
      </c>
      <c r="B43" s="8">
        <v>270</v>
      </c>
      <c r="C43" s="3" t="e">
        <f t="shared" si="4"/>
        <v>#VALUE!</v>
      </c>
      <c r="D43" s="8" t="e">
        <f t="shared" si="0"/>
        <v>#VALUE!</v>
      </c>
      <c r="E43" s="3" t="e">
        <f t="shared" si="5"/>
        <v>#VALUE!</v>
      </c>
      <c r="F43" s="8" t="e">
        <f t="shared" si="6"/>
        <v>#VALUE!</v>
      </c>
      <c r="G43" s="3" t="e">
        <f t="shared" si="1"/>
        <v>#VALUE!</v>
      </c>
      <c r="H43" s="3">
        <v>854</v>
      </c>
      <c r="I43" s="8" t="e">
        <f t="shared" si="2"/>
        <v>#VALUE!</v>
      </c>
      <c r="J43" s="3">
        <v>184428</v>
      </c>
      <c r="K43" s="3" t="e">
        <f t="shared" si="3"/>
        <v>#VALUE!</v>
      </c>
      <c r="L43" s="8" t="e">
        <f t="shared" si="7"/>
        <v>#VALUE!</v>
      </c>
      <c r="M43" s="8" t="e">
        <f t="shared" si="8"/>
        <v>#VALUE!</v>
      </c>
      <c r="N43" s="3" t="e">
        <f t="shared" si="9"/>
        <v>#VALUE!</v>
      </c>
      <c r="O43" s="3" t="e">
        <f t="shared" si="10"/>
        <v>#VALUE!</v>
      </c>
      <c r="P43" s="3">
        <v>107</v>
      </c>
      <c r="Q43" s="3">
        <v>250280</v>
      </c>
      <c r="R43" s="3">
        <v>4</v>
      </c>
      <c r="T43" t="e">
        <f t="shared" si="12"/>
        <v>#VALUE!</v>
      </c>
      <c r="U43" t="e">
        <f t="shared" si="11"/>
        <v>#VALUE!</v>
      </c>
    </row>
    <row r="44" spans="1:21" x14ac:dyDescent="0.35">
      <c r="A44" s="1">
        <v>43</v>
      </c>
      <c r="B44" s="8">
        <v>277</v>
      </c>
      <c r="C44" s="3" t="e">
        <f t="shared" si="4"/>
        <v>#VALUE!</v>
      </c>
      <c r="D44" s="8" t="e">
        <f t="shared" si="0"/>
        <v>#VALUE!</v>
      </c>
      <c r="E44" s="3" t="e">
        <f t="shared" si="5"/>
        <v>#VALUE!</v>
      </c>
      <c r="F44" s="8" t="e">
        <f t="shared" si="6"/>
        <v>#VALUE!</v>
      </c>
      <c r="G44" s="3" t="e">
        <f t="shared" si="1"/>
        <v>#VALUE!</v>
      </c>
      <c r="H44" s="3">
        <v>777</v>
      </c>
      <c r="I44" s="8" t="e">
        <f t="shared" si="2"/>
        <v>#VALUE!</v>
      </c>
      <c r="J44" s="3">
        <v>194281</v>
      </c>
      <c r="K44" s="3" t="e">
        <f t="shared" si="3"/>
        <v>#VALUE!</v>
      </c>
      <c r="L44" s="8" t="e">
        <f t="shared" si="7"/>
        <v>#VALUE!</v>
      </c>
      <c r="M44" s="8" t="e">
        <f t="shared" si="8"/>
        <v>#VALUE!</v>
      </c>
      <c r="N44" s="3" t="e">
        <f t="shared" si="9"/>
        <v>#VALUE!</v>
      </c>
      <c r="O44" s="3" t="e">
        <f t="shared" si="10"/>
        <v>#VALUE!</v>
      </c>
      <c r="P44" s="3">
        <v>147</v>
      </c>
      <c r="Q44" s="3">
        <v>217581</v>
      </c>
      <c r="R44" s="3">
        <v>3</v>
      </c>
      <c r="T44" t="e">
        <f t="shared" si="12"/>
        <v>#VALUE!</v>
      </c>
      <c r="U44" t="e">
        <f t="shared" si="11"/>
        <v>#VALUE!</v>
      </c>
    </row>
    <row r="45" spans="1:21" x14ac:dyDescent="0.35">
      <c r="A45" s="1">
        <v>44</v>
      </c>
      <c r="B45" s="8">
        <v>274</v>
      </c>
      <c r="C45" s="3" t="e">
        <f t="shared" si="4"/>
        <v>#VALUE!</v>
      </c>
      <c r="D45" s="8" t="e">
        <f t="shared" si="0"/>
        <v>#VALUE!</v>
      </c>
      <c r="E45" s="3" t="e">
        <f t="shared" si="5"/>
        <v>#VALUE!</v>
      </c>
      <c r="F45" s="8" t="e">
        <f t="shared" si="6"/>
        <v>#VALUE!</v>
      </c>
      <c r="G45" s="3" t="e">
        <f t="shared" si="1"/>
        <v>#VALUE!</v>
      </c>
      <c r="H45" s="3">
        <v>547</v>
      </c>
      <c r="I45" s="8" t="e">
        <f t="shared" si="2"/>
        <v>#VALUE!</v>
      </c>
      <c r="J45" s="3">
        <v>134340</v>
      </c>
      <c r="K45" s="3" t="e">
        <f t="shared" si="3"/>
        <v>#VALUE!</v>
      </c>
      <c r="L45" s="8" t="e">
        <f t="shared" si="7"/>
        <v>#VALUE!</v>
      </c>
      <c r="M45" s="8" t="e">
        <f t="shared" si="8"/>
        <v>#VALUE!</v>
      </c>
      <c r="N45" s="3" t="e">
        <f t="shared" si="9"/>
        <v>#VALUE!</v>
      </c>
      <c r="O45" s="3" t="e">
        <f t="shared" si="10"/>
        <v>#VALUE!</v>
      </c>
      <c r="P45" s="3">
        <v>445</v>
      </c>
      <c r="Q45" s="3">
        <v>200029</v>
      </c>
      <c r="R45" s="3">
        <v>3</v>
      </c>
      <c r="T45" t="e">
        <f t="shared" si="12"/>
        <v>#VALUE!</v>
      </c>
      <c r="U45" t="e">
        <f t="shared" si="11"/>
        <v>#VALUE!</v>
      </c>
    </row>
    <row r="46" spans="1:21" x14ac:dyDescent="0.35">
      <c r="A46" s="1">
        <v>45</v>
      </c>
      <c r="B46" s="8">
        <v>263</v>
      </c>
      <c r="C46" s="3" t="e">
        <f t="shared" si="4"/>
        <v>#VALUE!</v>
      </c>
      <c r="D46" s="8" t="e">
        <f t="shared" si="0"/>
        <v>#VALUE!</v>
      </c>
      <c r="E46" s="3" t="e">
        <f t="shared" si="5"/>
        <v>#VALUE!</v>
      </c>
      <c r="F46" s="8" t="e">
        <f t="shared" si="6"/>
        <v>#VALUE!</v>
      </c>
      <c r="G46" s="3" t="e">
        <f t="shared" si="1"/>
        <v>#VALUE!</v>
      </c>
      <c r="H46" s="3">
        <v>741</v>
      </c>
      <c r="I46" s="8" t="e">
        <f t="shared" si="2"/>
        <v>#VALUE!</v>
      </c>
      <c r="J46" s="3">
        <v>192501</v>
      </c>
      <c r="K46" s="3" t="e">
        <f t="shared" si="3"/>
        <v>#VALUE!</v>
      </c>
      <c r="L46" s="8" t="e">
        <f t="shared" si="7"/>
        <v>#VALUE!</v>
      </c>
      <c r="M46" s="8" t="e">
        <f t="shared" si="8"/>
        <v>#VALUE!</v>
      </c>
      <c r="N46" s="3" t="e">
        <f t="shared" si="9"/>
        <v>#VALUE!</v>
      </c>
      <c r="O46" s="3" t="e">
        <f t="shared" si="10"/>
        <v>#VALUE!</v>
      </c>
      <c r="P46" s="3">
        <v>275</v>
      </c>
      <c r="Q46" s="3">
        <v>120359</v>
      </c>
      <c r="R46" s="3">
        <v>5</v>
      </c>
      <c r="T46" t="e">
        <f t="shared" si="12"/>
        <v>#VALUE!</v>
      </c>
      <c r="U46" t="e">
        <f t="shared" si="11"/>
        <v>#VALUE!</v>
      </c>
    </row>
    <row r="47" spans="1:21" x14ac:dyDescent="0.35">
      <c r="A47" s="1">
        <v>46</v>
      </c>
      <c r="B47" s="8">
        <v>252</v>
      </c>
      <c r="C47" s="3" t="e">
        <f t="shared" si="4"/>
        <v>#VALUE!</v>
      </c>
      <c r="D47" s="8" t="e">
        <f t="shared" si="0"/>
        <v>#VALUE!</v>
      </c>
      <c r="E47" s="3" t="e">
        <f t="shared" si="5"/>
        <v>#VALUE!</v>
      </c>
      <c r="F47" s="8" t="e">
        <f t="shared" si="6"/>
        <v>#VALUE!</v>
      </c>
      <c r="G47" s="3" t="e">
        <f t="shared" si="1"/>
        <v>#VALUE!</v>
      </c>
      <c r="H47" s="3">
        <v>605</v>
      </c>
      <c r="I47" s="8" t="e">
        <f t="shared" si="2"/>
        <v>#VALUE!</v>
      </c>
      <c r="J47" s="3">
        <v>312078</v>
      </c>
      <c r="K47" s="3" t="e">
        <f t="shared" si="3"/>
        <v>#VALUE!</v>
      </c>
      <c r="L47" s="8" t="e">
        <f t="shared" si="7"/>
        <v>#VALUE!</v>
      </c>
      <c r="M47" s="8" t="e">
        <f t="shared" si="8"/>
        <v>#VALUE!</v>
      </c>
      <c r="N47" s="3" t="e">
        <f t="shared" si="9"/>
        <v>#VALUE!</v>
      </c>
      <c r="O47" s="3" t="e">
        <f t="shared" si="10"/>
        <v>#VALUE!</v>
      </c>
      <c r="P47" s="3">
        <v>283</v>
      </c>
      <c r="Q47" s="3">
        <v>401073</v>
      </c>
      <c r="R47" s="3">
        <v>3</v>
      </c>
      <c r="T47" t="e">
        <f t="shared" si="12"/>
        <v>#VALUE!</v>
      </c>
      <c r="U47" t="e">
        <f t="shared" si="11"/>
        <v>#VALUE!</v>
      </c>
    </row>
    <row r="48" spans="1:21" x14ac:dyDescent="0.35">
      <c r="A48" s="1">
        <v>47</v>
      </c>
      <c r="B48" s="8">
        <v>271</v>
      </c>
      <c r="C48" s="3" t="e">
        <f t="shared" si="4"/>
        <v>#VALUE!</v>
      </c>
      <c r="D48" s="8" t="e">
        <f t="shared" si="0"/>
        <v>#VALUE!</v>
      </c>
      <c r="E48" s="3" t="e">
        <f t="shared" si="5"/>
        <v>#VALUE!</v>
      </c>
      <c r="F48" s="8" t="e">
        <f t="shared" si="6"/>
        <v>#VALUE!</v>
      </c>
      <c r="G48" s="3" t="e">
        <f t="shared" si="1"/>
        <v>#VALUE!</v>
      </c>
      <c r="H48" s="3">
        <v>547</v>
      </c>
      <c r="I48" s="8" t="e">
        <f t="shared" si="2"/>
        <v>#VALUE!</v>
      </c>
      <c r="J48" s="3">
        <v>188494</v>
      </c>
      <c r="K48" s="3" t="e">
        <f t="shared" si="3"/>
        <v>#VALUE!</v>
      </c>
      <c r="L48" s="8" t="e">
        <f t="shared" si="7"/>
        <v>#VALUE!</v>
      </c>
      <c r="M48" s="8" t="e">
        <f t="shared" si="8"/>
        <v>#VALUE!</v>
      </c>
      <c r="N48" s="3" t="e">
        <f t="shared" si="9"/>
        <v>#VALUE!</v>
      </c>
      <c r="O48" s="3" t="e">
        <f t="shared" si="10"/>
        <v>#VALUE!</v>
      </c>
      <c r="P48" s="3">
        <v>155</v>
      </c>
      <c r="Q48" s="3">
        <v>273408</v>
      </c>
      <c r="R48" s="3">
        <v>5</v>
      </c>
      <c r="T48" t="e">
        <f t="shared" si="12"/>
        <v>#VALUE!</v>
      </c>
      <c r="U48" t="e">
        <f t="shared" si="11"/>
        <v>#VALUE!</v>
      </c>
    </row>
    <row r="49" spans="1:21" x14ac:dyDescent="0.35">
      <c r="A49" s="1">
        <v>48</v>
      </c>
      <c r="B49" s="8">
        <v>49</v>
      </c>
      <c r="C49" s="3" t="e">
        <f t="shared" si="4"/>
        <v>#VALUE!</v>
      </c>
      <c r="D49" s="8" t="e">
        <f t="shared" si="0"/>
        <v>#VALUE!</v>
      </c>
      <c r="E49" s="3" t="e">
        <f t="shared" si="5"/>
        <v>#VALUE!</v>
      </c>
      <c r="F49" s="8" t="e">
        <f t="shared" si="6"/>
        <v>#VALUE!</v>
      </c>
      <c r="G49" s="3" t="e">
        <f t="shared" si="1"/>
        <v>#VALUE!</v>
      </c>
      <c r="H49" s="3">
        <v>193</v>
      </c>
      <c r="I49" s="8" t="e">
        <f t="shared" si="2"/>
        <v>#VALUE!</v>
      </c>
      <c r="J49" s="3">
        <v>255088</v>
      </c>
      <c r="K49" s="3" t="e">
        <f t="shared" si="3"/>
        <v>#VALUE!</v>
      </c>
      <c r="L49" s="8" t="e">
        <f t="shared" si="7"/>
        <v>#VALUE!</v>
      </c>
      <c r="M49" s="8" t="e">
        <f t="shared" si="8"/>
        <v>#VALUE!</v>
      </c>
      <c r="N49" s="3" t="e">
        <f t="shared" si="9"/>
        <v>#VALUE!</v>
      </c>
      <c r="O49" s="3" t="e">
        <f t="shared" si="10"/>
        <v>#VALUE!</v>
      </c>
      <c r="P49" s="3">
        <v>341</v>
      </c>
      <c r="Q49" s="3">
        <v>200049</v>
      </c>
      <c r="R49" s="3">
        <v>4</v>
      </c>
      <c r="T49" t="e">
        <f t="shared" si="12"/>
        <v>#VALUE!</v>
      </c>
      <c r="U49" t="e">
        <f t="shared" si="11"/>
        <v>#VALUE!</v>
      </c>
    </row>
    <row r="50" spans="1:21" x14ac:dyDescent="0.35">
      <c r="A50" s="1">
        <v>49</v>
      </c>
      <c r="B50" s="8">
        <v>156</v>
      </c>
      <c r="C50" s="3" t="e">
        <f t="shared" si="4"/>
        <v>#VALUE!</v>
      </c>
      <c r="D50" s="8" t="e">
        <f t="shared" si="0"/>
        <v>#VALUE!</v>
      </c>
      <c r="E50" s="3" t="e">
        <f t="shared" si="5"/>
        <v>#VALUE!</v>
      </c>
      <c r="F50" s="8" t="e">
        <f t="shared" si="6"/>
        <v>#VALUE!</v>
      </c>
      <c r="G50" s="3" t="e">
        <f t="shared" si="1"/>
        <v>#VALUE!</v>
      </c>
      <c r="H50" s="3">
        <v>610</v>
      </c>
      <c r="I50" s="8" t="e">
        <f t="shared" si="2"/>
        <v>#VALUE!</v>
      </c>
      <c r="J50" s="3">
        <v>261776</v>
      </c>
      <c r="K50" s="3" t="e">
        <f t="shared" si="3"/>
        <v>#VALUE!</v>
      </c>
      <c r="L50" s="8" t="e">
        <f t="shared" si="7"/>
        <v>#VALUE!</v>
      </c>
      <c r="M50" s="8" t="e">
        <f t="shared" si="8"/>
        <v>#VALUE!</v>
      </c>
      <c r="N50" s="3" t="e">
        <f t="shared" si="9"/>
        <v>#VALUE!</v>
      </c>
      <c r="O50" s="3" t="e">
        <f t="shared" si="10"/>
        <v>#VALUE!</v>
      </c>
      <c r="P50" s="3">
        <v>193</v>
      </c>
      <c r="Q50" s="3">
        <v>255088</v>
      </c>
      <c r="R50" s="3">
        <v>4</v>
      </c>
      <c r="T50" t="e">
        <f t="shared" si="12"/>
        <v>#VALUE!</v>
      </c>
      <c r="U50" t="e">
        <f t="shared" si="11"/>
        <v>#VALUE!</v>
      </c>
    </row>
    <row r="51" spans="1:21" x14ac:dyDescent="0.35">
      <c r="A51" s="1">
        <v>50</v>
      </c>
      <c r="B51" s="8">
        <v>177</v>
      </c>
      <c r="C51" s="3" t="e">
        <f t="shared" si="4"/>
        <v>#VALUE!</v>
      </c>
      <c r="D51" s="8" t="e">
        <f t="shared" si="0"/>
        <v>#VALUE!</v>
      </c>
      <c r="E51" s="3" t="e">
        <f t="shared" si="5"/>
        <v>#VALUE!</v>
      </c>
      <c r="F51" s="8" t="e">
        <f t="shared" si="6"/>
        <v>#VALUE!</v>
      </c>
      <c r="G51" s="3" t="e">
        <f t="shared" si="1"/>
        <v>#VALUE!</v>
      </c>
      <c r="H51" s="3">
        <v>837</v>
      </c>
      <c r="I51" s="8" t="e">
        <f t="shared" si="2"/>
        <v>#VALUE!</v>
      </c>
      <c r="J51" s="3">
        <v>232943</v>
      </c>
      <c r="K51" s="3" t="e">
        <f t="shared" si="3"/>
        <v>#VALUE!</v>
      </c>
      <c r="L51" s="8" t="e">
        <f t="shared" si="7"/>
        <v>#VALUE!</v>
      </c>
      <c r="M51" s="8" t="e">
        <f t="shared" si="8"/>
        <v>#VALUE!</v>
      </c>
      <c r="N51" s="3" t="e">
        <f t="shared" si="9"/>
        <v>#VALUE!</v>
      </c>
      <c r="O51" s="3" t="e">
        <f t="shared" si="10"/>
        <v>#VALUE!</v>
      </c>
      <c r="P51" s="3">
        <v>277</v>
      </c>
      <c r="Q51" s="3">
        <v>138845</v>
      </c>
      <c r="R51" s="3">
        <v>3</v>
      </c>
      <c r="T51" t="e">
        <f t="shared" si="12"/>
        <v>#VALUE!</v>
      </c>
      <c r="U51" t="e">
        <f t="shared" si="11"/>
        <v>#VALUE!</v>
      </c>
    </row>
    <row r="52" spans="1:21" x14ac:dyDescent="0.35">
      <c r="A52" s="1">
        <v>51</v>
      </c>
      <c r="B52" s="8">
        <v>1</v>
      </c>
      <c r="C52" s="3" t="e">
        <f t="shared" si="4"/>
        <v>#VALUE!</v>
      </c>
      <c r="D52" s="8" t="e">
        <f t="shared" si="0"/>
        <v>#VALUE!</v>
      </c>
      <c r="E52" s="3" t="e">
        <f t="shared" si="5"/>
        <v>#VALUE!</v>
      </c>
      <c r="F52" s="8" t="e">
        <f t="shared" si="6"/>
        <v>#VALUE!</v>
      </c>
      <c r="G52" s="3" t="e">
        <f t="shared" si="1"/>
        <v>#VALUE!</v>
      </c>
      <c r="H52" s="3">
        <v>193</v>
      </c>
      <c r="I52" s="8" t="e">
        <f t="shared" si="2"/>
        <v>#VALUE!</v>
      </c>
      <c r="J52" s="3">
        <v>139518</v>
      </c>
      <c r="K52" s="3" t="e">
        <f t="shared" si="3"/>
        <v>#VALUE!</v>
      </c>
      <c r="L52" s="8" t="e">
        <f t="shared" si="7"/>
        <v>#VALUE!</v>
      </c>
      <c r="M52" s="8" t="e">
        <f t="shared" si="8"/>
        <v>#VALUE!</v>
      </c>
      <c r="N52" s="3" t="e">
        <f t="shared" si="9"/>
        <v>#VALUE!</v>
      </c>
      <c r="O52" s="3" t="e">
        <f t="shared" si="10"/>
        <v>#VALUE!</v>
      </c>
      <c r="P52" s="3">
        <v>343</v>
      </c>
      <c r="Q52" s="3">
        <v>236552</v>
      </c>
      <c r="R52" s="3">
        <v>3</v>
      </c>
      <c r="T52" t="e">
        <f t="shared" si="12"/>
        <v>#VALUE!</v>
      </c>
      <c r="U52" t="e">
        <f t="shared" si="11"/>
        <v>#VALUE!</v>
      </c>
    </row>
    <row r="53" spans="1:21" x14ac:dyDescent="0.35">
      <c r="A53" s="1">
        <v>52</v>
      </c>
      <c r="B53" s="8">
        <v>170</v>
      </c>
      <c r="C53" s="3" t="e">
        <f t="shared" si="4"/>
        <v>#VALUE!</v>
      </c>
      <c r="D53" s="8" t="e">
        <f t="shared" si="0"/>
        <v>#VALUE!</v>
      </c>
      <c r="E53" s="3" t="e">
        <f t="shared" si="5"/>
        <v>#VALUE!</v>
      </c>
      <c r="F53" s="8" t="e">
        <f t="shared" si="6"/>
        <v>#VALUE!</v>
      </c>
      <c r="G53" s="3" t="e">
        <f t="shared" si="1"/>
        <v>#VALUE!</v>
      </c>
      <c r="H53" s="3">
        <v>698</v>
      </c>
      <c r="I53" s="8" t="e">
        <f t="shared" si="2"/>
        <v>#VALUE!</v>
      </c>
      <c r="J53" s="3">
        <v>220284</v>
      </c>
      <c r="K53" s="3" t="e">
        <f t="shared" si="3"/>
        <v>#VALUE!</v>
      </c>
      <c r="L53" s="8" t="e">
        <f t="shared" si="7"/>
        <v>#VALUE!</v>
      </c>
      <c r="M53" s="8" t="e">
        <f t="shared" si="8"/>
        <v>#VALUE!</v>
      </c>
      <c r="N53" s="3" t="e">
        <f t="shared" si="9"/>
        <v>#VALUE!</v>
      </c>
      <c r="O53" s="3" t="e">
        <f t="shared" si="10"/>
        <v>#VALUE!</v>
      </c>
      <c r="P53" s="3">
        <v>222</v>
      </c>
      <c r="Q53" s="3">
        <v>160553</v>
      </c>
      <c r="R53" s="3">
        <v>5</v>
      </c>
      <c r="T53" t="e">
        <f t="shared" si="12"/>
        <v>#VALUE!</v>
      </c>
      <c r="U53" t="e">
        <f t="shared" si="11"/>
        <v>#VALUE!</v>
      </c>
    </row>
    <row r="54" spans="1:21" x14ac:dyDescent="0.35">
      <c r="A54" s="1">
        <v>53</v>
      </c>
      <c r="B54" s="8">
        <v>153</v>
      </c>
      <c r="C54" s="3" t="e">
        <f t="shared" si="4"/>
        <v>#VALUE!</v>
      </c>
      <c r="D54" s="8" t="e">
        <f t="shared" si="0"/>
        <v>#VALUE!</v>
      </c>
      <c r="E54" s="3" t="e">
        <f t="shared" si="5"/>
        <v>#VALUE!</v>
      </c>
      <c r="F54" s="8" t="e">
        <f t="shared" si="6"/>
        <v>#VALUE!</v>
      </c>
      <c r="G54" s="3" t="e">
        <f t="shared" si="1"/>
        <v>#VALUE!</v>
      </c>
      <c r="H54" s="3">
        <v>660</v>
      </c>
      <c r="I54" s="8" t="e">
        <f t="shared" si="2"/>
        <v>#VALUE!</v>
      </c>
      <c r="J54" s="3">
        <v>168094</v>
      </c>
      <c r="K54" s="3" t="e">
        <f t="shared" si="3"/>
        <v>#VALUE!</v>
      </c>
      <c r="L54" s="8" t="e">
        <f t="shared" si="7"/>
        <v>#VALUE!</v>
      </c>
      <c r="M54" s="8" t="e">
        <f t="shared" si="8"/>
        <v>#VALUE!</v>
      </c>
      <c r="N54" s="3" t="e">
        <f t="shared" si="9"/>
        <v>#VALUE!</v>
      </c>
      <c r="O54" s="3" t="e">
        <f t="shared" si="10"/>
        <v>#VALUE!</v>
      </c>
      <c r="P54" s="3">
        <v>339</v>
      </c>
      <c r="Q54" s="3">
        <v>132624</v>
      </c>
      <c r="R54" s="3">
        <v>3</v>
      </c>
      <c r="T54" t="e">
        <f t="shared" si="12"/>
        <v>#VALUE!</v>
      </c>
      <c r="U54" t="e">
        <f t="shared" si="11"/>
        <v>#VALUE!</v>
      </c>
    </row>
    <row r="55" spans="1:21" x14ac:dyDescent="0.35">
      <c r="A55" s="1">
        <v>54</v>
      </c>
      <c r="B55" s="8">
        <v>172</v>
      </c>
      <c r="C55" s="3" t="e">
        <f t="shared" si="4"/>
        <v>#VALUE!</v>
      </c>
      <c r="D55" s="8" t="e">
        <f t="shared" si="0"/>
        <v>#VALUE!</v>
      </c>
      <c r="E55" s="3" t="e">
        <f t="shared" si="5"/>
        <v>#VALUE!</v>
      </c>
      <c r="F55" s="8" t="e">
        <f t="shared" si="6"/>
        <v>#VALUE!</v>
      </c>
      <c r="G55" s="3" t="e">
        <f t="shared" si="1"/>
        <v>#VALUE!</v>
      </c>
      <c r="H55" s="3">
        <v>602</v>
      </c>
      <c r="I55" s="8" t="e">
        <f t="shared" si="2"/>
        <v>#VALUE!</v>
      </c>
      <c r="J55" s="3">
        <v>301395</v>
      </c>
      <c r="K55" s="3" t="e">
        <f t="shared" si="3"/>
        <v>#VALUE!</v>
      </c>
      <c r="L55" s="8" t="e">
        <f t="shared" si="7"/>
        <v>#VALUE!</v>
      </c>
      <c r="M55" s="8" t="e">
        <f t="shared" si="8"/>
        <v>#VALUE!</v>
      </c>
      <c r="N55" s="3" t="e">
        <f t="shared" si="9"/>
        <v>#VALUE!</v>
      </c>
      <c r="O55" s="3" t="e">
        <f t="shared" si="10"/>
        <v>#VALUE!</v>
      </c>
      <c r="P55" s="3">
        <v>311</v>
      </c>
      <c r="Q55" s="3">
        <v>366712</v>
      </c>
      <c r="R55" s="3">
        <v>3</v>
      </c>
      <c r="T55" t="e">
        <f t="shared" si="12"/>
        <v>#VALUE!</v>
      </c>
      <c r="U55" t="e">
        <f t="shared" si="11"/>
        <v>#VALUE!</v>
      </c>
    </row>
    <row r="56" spans="1:21" x14ac:dyDescent="0.35">
      <c r="A56" s="1">
        <v>55</v>
      </c>
      <c r="B56" s="8">
        <v>122</v>
      </c>
      <c r="C56" s="3" t="e">
        <f t="shared" si="4"/>
        <v>#VALUE!</v>
      </c>
      <c r="D56" s="8" t="e">
        <f t="shared" si="0"/>
        <v>#VALUE!</v>
      </c>
      <c r="E56" s="3" t="e">
        <f t="shared" si="5"/>
        <v>#VALUE!</v>
      </c>
      <c r="F56" s="8" t="e">
        <f t="shared" si="6"/>
        <v>#VALUE!</v>
      </c>
      <c r="G56" s="3" t="e">
        <f t="shared" si="1"/>
        <v>#VALUE!</v>
      </c>
      <c r="H56" s="3">
        <v>262</v>
      </c>
      <c r="I56" s="8" t="e">
        <f t="shared" si="2"/>
        <v>#VALUE!</v>
      </c>
      <c r="J56" s="3">
        <v>128240</v>
      </c>
      <c r="K56" s="3" t="e">
        <f t="shared" si="3"/>
        <v>#VALUE!</v>
      </c>
      <c r="L56" s="8" t="e">
        <f t="shared" si="7"/>
        <v>#VALUE!</v>
      </c>
      <c r="M56" s="8" t="e">
        <f t="shared" si="8"/>
        <v>#VALUE!</v>
      </c>
      <c r="N56" s="3" t="e">
        <f t="shared" si="9"/>
        <v>#VALUE!</v>
      </c>
      <c r="O56" s="3" t="e">
        <f t="shared" si="10"/>
        <v>#VALUE!</v>
      </c>
      <c r="P56" s="3">
        <v>319</v>
      </c>
      <c r="Q56" s="3">
        <v>143616</v>
      </c>
      <c r="R56" s="3">
        <v>5</v>
      </c>
      <c r="T56" t="e">
        <f t="shared" si="12"/>
        <v>#VALUE!</v>
      </c>
      <c r="U56" t="e">
        <f t="shared" si="11"/>
        <v>#VALUE!</v>
      </c>
    </row>
    <row r="57" spans="1:21" x14ac:dyDescent="0.35">
      <c r="A57" s="1">
        <v>56</v>
      </c>
      <c r="B57" s="8">
        <v>93</v>
      </c>
      <c r="C57" s="3" t="e">
        <f t="shared" si="4"/>
        <v>#VALUE!</v>
      </c>
      <c r="D57" s="8" t="e">
        <f t="shared" si="0"/>
        <v>#VALUE!</v>
      </c>
      <c r="E57" s="3" t="e">
        <f t="shared" si="5"/>
        <v>#VALUE!</v>
      </c>
      <c r="F57" s="8" t="e">
        <f t="shared" si="6"/>
        <v>#VALUE!</v>
      </c>
      <c r="G57" s="3" t="e">
        <f t="shared" si="1"/>
        <v>#VALUE!</v>
      </c>
      <c r="H57" s="3">
        <v>469</v>
      </c>
      <c r="I57" s="8" t="e">
        <f t="shared" si="2"/>
        <v>#VALUE!</v>
      </c>
      <c r="J57" s="3">
        <v>226987</v>
      </c>
      <c r="K57" s="3" t="e">
        <f t="shared" si="3"/>
        <v>#VALUE!</v>
      </c>
      <c r="L57" s="8" t="e">
        <f t="shared" si="7"/>
        <v>#VALUE!</v>
      </c>
      <c r="M57" s="8" t="e">
        <f t="shared" si="8"/>
        <v>#VALUE!</v>
      </c>
      <c r="N57" s="3" t="e">
        <f t="shared" si="9"/>
        <v>#VALUE!</v>
      </c>
      <c r="O57" s="3" t="e">
        <f t="shared" si="10"/>
        <v>#VALUE!</v>
      </c>
      <c r="P57" s="3">
        <v>218</v>
      </c>
      <c r="Q57" s="3">
        <v>266495</v>
      </c>
      <c r="R57" s="3">
        <v>3</v>
      </c>
      <c r="T57" t="e">
        <f t="shared" si="12"/>
        <v>#VALUE!</v>
      </c>
      <c r="U57" t="e">
        <f t="shared" si="11"/>
        <v>#VALUE!</v>
      </c>
    </row>
    <row r="58" spans="1:21" x14ac:dyDescent="0.35">
      <c r="A58" s="1">
        <v>57</v>
      </c>
      <c r="B58" s="8">
        <v>167</v>
      </c>
      <c r="C58" s="3" t="e">
        <f t="shared" si="4"/>
        <v>#VALUE!</v>
      </c>
      <c r="D58" s="8" t="e">
        <f t="shared" si="0"/>
        <v>#VALUE!</v>
      </c>
      <c r="E58" s="3" t="e">
        <f t="shared" si="5"/>
        <v>#VALUE!</v>
      </c>
      <c r="F58" s="8" t="e">
        <f t="shared" si="6"/>
        <v>#VALUE!</v>
      </c>
      <c r="G58" s="3" t="e">
        <f t="shared" si="1"/>
        <v>#VALUE!</v>
      </c>
      <c r="H58" s="3">
        <v>830</v>
      </c>
      <c r="I58" s="8" t="e">
        <f t="shared" si="2"/>
        <v>#VALUE!</v>
      </c>
      <c r="J58" s="3">
        <v>163789</v>
      </c>
      <c r="K58" s="3" t="e">
        <f t="shared" si="3"/>
        <v>#VALUE!</v>
      </c>
      <c r="L58" s="8" t="e">
        <f t="shared" si="7"/>
        <v>#VALUE!</v>
      </c>
      <c r="M58" s="8" t="e">
        <f t="shared" si="8"/>
        <v>#VALUE!</v>
      </c>
      <c r="N58" s="3" t="e">
        <f t="shared" si="9"/>
        <v>#VALUE!</v>
      </c>
      <c r="O58" s="3" t="e">
        <f t="shared" si="10"/>
        <v>#VALUE!</v>
      </c>
      <c r="P58" s="3">
        <v>307</v>
      </c>
      <c r="Q58" s="3">
        <v>107914</v>
      </c>
      <c r="R58" s="3">
        <v>4</v>
      </c>
      <c r="T58" t="e">
        <f t="shared" si="12"/>
        <v>#VALUE!</v>
      </c>
      <c r="U58" t="e">
        <f t="shared" si="11"/>
        <v>#VALUE!</v>
      </c>
    </row>
    <row r="59" spans="1:21" x14ac:dyDescent="0.35">
      <c r="A59" s="1">
        <v>58</v>
      </c>
      <c r="B59" s="8">
        <v>155</v>
      </c>
      <c r="C59" s="3" t="e">
        <f t="shared" si="4"/>
        <v>#VALUE!</v>
      </c>
      <c r="D59" s="8" t="e">
        <f t="shared" si="0"/>
        <v>#VALUE!</v>
      </c>
      <c r="E59" s="3" t="e">
        <f t="shared" si="5"/>
        <v>#VALUE!</v>
      </c>
      <c r="F59" s="8" t="e">
        <f t="shared" si="6"/>
        <v>#VALUE!</v>
      </c>
      <c r="G59" s="3" t="e">
        <f t="shared" si="1"/>
        <v>#VALUE!</v>
      </c>
      <c r="H59" s="3">
        <v>656</v>
      </c>
      <c r="I59" s="8" t="e">
        <f t="shared" si="2"/>
        <v>#VALUE!</v>
      </c>
      <c r="J59" s="3">
        <v>127400</v>
      </c>
      <c r="K59" s="3" t="e">
        <f t="shared" si="3"/>
        <v>#VALUE!</v>
      </c>
      <c r="L59" s="8" t="e">
        <f t="shared" si="7"/>
        <v>#VALUE!</v>
      </c>
      <c r="M59" s="8" t="e">
        <f t="shared" si="8"/>
        <v>#VALUE!</v>
      </c>
      <c r="N59" s="3" t="e">
        <f t="shared" si="9"/>
        <v>#VALUE!</v>
      </c>
      <c r="O59" s="3" t="e">
        <f t="shared" si="10"/>
        <v>#VALUE!</v>
      </c>
      <c r="P59" s="3">
        <v>292</v>
      </c>
      <c r="Q59" s="3">
        <v>281286</v>
      </c>
      <c r="R59" s="3">
        <v>3</v>
      </c>
      <c r="T59" t="e">
        <f t="shared" si="12"/>
        <v>#VALUE!</v>
      </c>
      <c r="U59" t="e">
        <f t="shared" si="11"/>
        <v>#VALUE!</v>
      </c>
    </row>
    <row r="60" spans="1:21" x14ac:dyDescent="0.35">
      <c r="A60" s="1">
        <v>59</v>
      </c>
      <c r="B60" s="8">
        <v>181</v>
      </c>
      <c r="C60" s="3" t="e">
        <f t="shared" si="4"/>
        <v>#VALUE!</v>
      </c>
      <c r="D60" s="8" t="e">
        <f t="shared" si="0"/>
        <v>#VALUE!</v>
      </c>
      <c r="E60" s="3" t="e">
        <f t="shared" si="5"/>
        <v>#VALUE!</v>
      </c>
      <c r="F60" s="8" t="e">
        <f t="shared" si="6"/>
        <v>#VALUE!</v>
      </c>
      <c r="G60" s="3" t="e">
        <f t="shared" si="1"/>
        <v>#VALUE!</v>
      </c>
      <c r="H60" s="3">
        <v>787</v>
      </c>
      <c r="I60" s="8" t="e">
        <f t="shared" si="2"/>
        <v>#VALUE!</v>
      </c>
      <c r="J60" s="3">
        <v>166516</v>
      </c>
      <c r="K60" s="3" t="e">
        <f t="shared" si="3"/>
        <v>#VALUE!</v>
      </c>
      <c r="L60" s="8" t="e">
        <f t="shared" si="7"/>
        <v>#VALUE!</v>
      </c>
      <c r="M60" s="8" t="e">
        <f t="shared" si="8"/>
        <v>#VALUE!</v>
      </c>
      <c r="N60" s="3" t="e">
        <f t="shared" si="9"/>
        <v>#VALUE!</v>
      </c>
      <c r="O60" s="3" t="e">
        <f t="shared" si="10"/>
        <v>#VALUE!</v>
      </c>
      <c r="P60" s="3">
        <v>197</v>
      </c>
      <c r="Q60" s="3">
        <v>261156</v>
      </c>
      <c r="R60" s="3">
        <v>4</v>
      </c>
      <c r="T60" t="e">
        <f t="shared" si="12"/>
        <v>#VALUE!</v>
      </c>
      <c r="U60" t="e">
        <f t="shared" si="11"/>
        <v>#VALUE!</v>
      </c>
    </row>
    <row r="61" spans="1:21" x14ac:dyDescent="0.35">
      <c r="A61" s="1">
        <v>60</v>
      </c>
      <c r="B61" s="8">
        <v>214</v>
      </c>
      <c r="C61" s="3" t="e">
        <f t="shared" si="4"/>
        <v>#VALUE!</v>
      </c>
      <c r="D61" s="8" t="e">
        <f t="shared" si="0"/>
        <v>#VALUE!</v>
      </c>
      <c r="E61" s="3" t="e">
        <f t="shared" si="5"/>
        <v>#VALUE!</v>
      </c>
      <c r="F61" s="8" t="e">
        <f t="shared" si="6"/>
        <v>#VALUE!</v>
      </c>
      <c r="G61" s="3" t="e">
        <f t="shared" si="1"/>
        <v>#VALUE!</v>
      </c>
      <c r="H61" s="3">
        <v>835</v>
      </c>
      <c r="I61" s="8" t="e">
        <f t="shared" si="2"/>
        <v>#VALUE!</v>
      </c>
      <c r="J61" s="3">
        <v>242298</v>
      </c>
      <c r="K61" s="3" t="e">
        <f t="shared" si="3"/>
        <v>#VALUE!</v>
      </c>
      <c r="L61" s="8" t="e">
        <f t="shared" si="7"/>
        <v>#VALUE!</v>
      </c>
      <c r="M61" s="8" t="e">
        <f t="shared" si="8"/>
        <v>#VALUE!</v>
      </c>
      <c r="N61" s="3" t="e">
        <f t="shared" si="9"/>
        <v>#VALUE!</v>
      </c>
      <c r="O61" s="3" t="e">
        <f t="shared" si="10"/>
        <v>#VALUE!</v>
      </c>
      <c r="P61" s="3">
        <v>165</v>
      </c>
      <c r="Q61" s="3">
        <v>229854</v>
      </c>
      <c r="R61" s="3">
        <v>5</v>
      </c>
      <c r="T61" t="e">
        <f t="shared" si="12"/>
        <v>#VALUE!</v>
      </c>
      <c r="U61" t="e">
        <f t="shared" si="11"/>
        <v>#VALUE!</v>
      </c>
    </row>
    <row r="62" spans="1:21" x14ac:dyDescent="0.35">
      <c r="A62" s="1">
        <v>61</v>
      </c>
      <c r="B62" s="8">
        <v>99</v>
      </c>
      <c r="C62" s="3" t="e">
        <f t="shared" si="4"/>
        <v>#VALUE!</v>
      </c>
      <c r="D62" s="8" t="e">
        <f t="shared" si="0"/>
        <v>#VALUE!</v>
      </c>
      <c r="E62" s="3" t="e">
        <f t="shared" si="5"/>
        <v>#VALUE!</v>
      </c>
      <c r="F62" s="8" t="e">
        <f t="shared" si="6"/>
        <v>#VALUE!</v>
      </c>
      <c r="G62" s="3" t="e">
        <f t="shared" si="1"/>
        <v>#VALUE!</v>
      </c>
      <c r="H62" s="3">
        <v>189</v>
      </c>
      <c r="I62" s="8" t="e">
        <f t="shared" si="2"/>
        <v>#VALUE!</v>
      </c>
      <c r="J62" s="3">
        <v>151213</v>
      </c>
      <c r="K62" s="3" t="e">
        <f t="shared" si="3"/>
        <v>#VALUE!</v>
      </c>
      <c r="L62" s="8" t="e">
        <f t="shared" si="7"/>
        <v>#VALUE!</v>
      </c>
      <c r="M62" s="8" t="e">
        <f t="shared" si="8"/>
        <v>#VALUE!</v>
      </c>
      <c r="N62" s="3" t="e">
        <f t="shared" si="9"/>
        <v>#VALUE!</v>
      </c>
      <c r="O62" s="3" t="e">
        <f t="shared" si="10"/>
        <v>#VALUE!</v>
      </c>
      <c r="P62" s="3">
        <v>157</v>
      </c>
      <c r="Q62" s="3">
        <v>309423</v>
      </c>
      <c r="R62" s="3">
        <v>3</v>
      </c>
      <c r="T62" t="e">
        <f t="shared" si="12"/>
        <v>#VALUE!</v>
      </c>
      <c r="U62" t="e">
        <f t="shared" si="11"/>
        <v>#VALUE!</v>
      </c>
    </row>
    <row r="63" spans="1:21" x14ac:dyDescent="0.35">
      <c r="A63" s="1">
        <v>62</v>
      </c>
      <c r="B63" s="8">
        <v>34</v>
      </c>
      <c r="C63" s="3" t="e">
        <f t="shared" si="4"/>
        <v>#VALUE!</v>
      </c>
      <c r="D63" s="8" t="e">
        <f t="shared" si="0"/>
        <v>#VALUE!</v>
      </c>
      <c r="E63" s="3" t="e">
        <f t="shared" si="5"/>
        <v>#VALUE!</v>
      </c>
      <c r="F63" s="8" t="e">
        <f t="shared" si="6"/>
        <v>#VALUE!</v>
      </c>
      <c r="G63" s="3" t="e">
        <f t="shared" si="1"/>
        <v>#VALUE!</v>
      </c>
      <c r="H63" s="3">
        <v>180</v>
      </c>
      <c r="I63" s="8" t="e">
        <f t="shared" si="2"/>
        <v>#VALUE!</v>
      </c>
      <c r="J63" s="3">
        <v>219201</v>
      </c>
      <c r="K63" s="3" t="e">
        <f t="shared" si="3"/>
        <v>#VALUE!</v>
      </c>
      <c r="L63" s="8" t="e">
        <f t="shared" si="7"/>
        <v>#VALUE!</v>
      </c>
      <c r="M63" s="8" t="e">
        <f t="shared" si="8"/>
        <v>#VALUE!</v>
      </c>
      <c r="N63" s="3" t="e">
        <f t="shared" si="9"/>
        <v>#VALUE!</v>
      </c>
      <c r="O63" s="3" t="e">
        <f t="shared" si="10"/>
        <v>#VALUE!</v>
      </c>
      <c r="P63" s="3">
        <v>470</v>
      </c>
      <c r="Q63" s="3">
        <v>151916</v>
      </c>
      <c r="R63" s="3">
        <v>3</v>
      </c>
      <c r="T63" t="e">
        <f t="shared" si="12"/>
        <v>#VALUE!</v>
      </c>
      <c r="U63" t="e">
        <f t="shared" si="11"/>
        <v>#VALUE!</v>
      </c>
    </row>
    <row r="64" spans="1:21" x14ac:dyDescent="0.35">
      <c r="A64" s="1">
        <v>63</v>
      </c>
      <c r="B64" s="8">
        <v>108</v>
      </c>
      <c r="C64" s="3" t="e">
        <f t="shared" si="4"/>
        <v>#VALUE!</v>
      </c>
      <c r="D64" s="8" t="e">
        <f t="shared" si="0"/>
        <v>#VALUE!</v>
      </c>
      <c r="E64" s="3" t="e">
        <f t="shared" si="5"/>
        <v>#VALUE!</v>
      </c>
      <c r="F64" s="8" t="e">
        <f t="shared" si="6"/>
        <v>#VALUE!</v>
      </c>
      <c r="G64" s="3" t="e">
        <f t="shared" si="1"/>
        <v>#VALUE!</v>
      </c>
      <c r="H64" s="3">
        <v>222</v>
      </c>
      <c r="I64" s="8" t="e">
        <f t="shared" si="2"/>
        <v>#VALUE!</v>
      </c>
      <c r="J64" s="3">
        <v>234677</v>
      </c>
      <c r="K64" s="3" t="e">
        <f t="shared" si="3"/>
        <v>#VALUE!</v>
      </c>
      <c r="L64" s="8" t="e">
        <f t="shared" si="7"/>
        <v>#VALUE!</v>
      </c>
      <c r="M64" s="8" t="e">
        <f t="shared" si="8"/>
        <v>#VALUE!</v>
      </c>
      <c r="N64" s="3" t="e">
        <f t="shared" si="9"/>
        <v>#VALUE!</v>
      </c>
      <c r="O64" s="3" t="e">
        <f t="shared" si="10"/>
        <v>#VALUE!</v>
      </c>
      <c r="P64" s="3">
        <v>472</v>
      </c>
      <c r="Q64" s="3">
        <v>186949</v>
      </c>
      <c r="R64" s="3">
        <v>3</v>
      </c>
      <c r="T64" t="e">
        <f t="shared" si="12"/>
        <v>#VALUE!</v>
      </c>
      <c r="U64" t="e">
        <f t="shared" si="11"/>
        <v>#VALUE!</v>
      </c>
    </row>
    <row r="65" spans="1:21" x14ac:dyDescent="0.35">
      <c r="A65" s="1">
        <v>64</v>
      </c>
      <c r="B65" s="8">
        <v>146</v>
      </c>
      <c r="C65" s="3" t="e">
        <f t="shared" si="4"/>
        <v>#VALUE!</v>
      </c>
      <c r="D65" s="8" t="e">
        <f t="shared" si="0"/>
        <v>#VALUE!</v>
      </c>
      <c r="E65" s="3" t="e">
        <f t="shared" si="5"/>
        <v>#VALUE!</v>
      </c>
      <c r="F65" s="8" t="e">
        <f t="shared" si="6"/>
        <v>#VALUE!</v>
      </c>
      <c r="G65" s="3" t="e">
        <f t="shared" si="1"/>
        <v>#VALUE!</v>
      </c>
      <c r="H65" s="3">
        <v>841</v>
      </c>
      <c r="I65" s="8" t="e">
        <f t="shared" si="2"/>
        <v>#VALUE!</v>
      </c>
      <c r="J65" s="3">
        <v>202966</v>
      </c>
      <c r="K65" s="3" t="e">
        <f t="shared" si="3"/>
        <v>#VALUE!</v>
      </c>
      <c r="L65" s="8" t="e">
        <f t="shared" si="7"/>
        <v>#VALUE!</v>
      </c>
      <c r="M65" s="8" t="e">
        <f t="shared" si="8"/>
        <v>#VALUE!</v>
      </c>
      <c r="N65" s="3" t="e">
        <f t="shared" si="9"/>
        <v>#VALUE!</v>
      </c>
      <c r="O65" s="3" t="e">
        <f t="shared" si="10"/>
        <v>#VALUE!</v>
      </c>
      <c r="P65" s="3">
        <v>209</v>
      </c>
      <c r="Q65" s="3">
        <v>174330</v>
      </c>
      <c r="R65" s="3">
        <v>4</v>
      </c>
      <c r="T65" t="e">
        <f t="shared" si="12"/>
        <v>#VALUE!</v>
      </c>
      <c r="U65" t="e">
        <f t="shared" si="11"/>
        <v>#VALUE!</v>
      </c>
    </row>
    <row r="66" spans="1:21" x14ac:dyDescent="0.35">
      <c r="A66" s="1">
        <v>65</v>
      </c>
      <c r="B66" s="8">
        <v>76</v>
      </c>
      <c r="C66" s="3" t="e">
        <f t="shared" si="4"/>
        <v>#VALUE!</v>
      </c>
      <c r="D66" s="8" t="e">
        <f t="shared" ref="D66:D129" si="16">VLOOKUP(C66,$W$8:$X$10,2,FALSE)</f>
        <v>#VALUE!</v>
      </c>
      <c r="E66" s="3" t="e">
        <f t="shared" si="5"/>
        <v>#VALUE!</v>
      </c>
      <c r="F66" s="8" t="e">
        <f t="shared" ref="F66:F129" si="17">VLOOKUP(E66,$W$2:$X$4,2,FALSE)</f>
        <v>#VALUE!</v>
      </c>
      <c r="G66" s="3" t="e">
        <f t="shared" ref="G66:G129" si="18">MID($W$22,MOD(ROW(G66),5)+1,1)*(-1)^ROW(G66)</f>
        <v>#VALUE!</v>
      </c>
      <c r="H66" s="3">
        <v>428</v>
      </c>
      <c r="I66" s="8" t="e">
        <f t="shared" ref="I66:I129" si="19">H66+G66</f>
        <v>#VALUE!</v>
      </c>
      <c r="J66" s="3">
        <v>193162</v>
      </c>
      <c r="K66" s="3" t="e">
        <f t="shared" ref="K66:K129" si="20">$X$22</f>
        <v>#VALUE!</v>
      </c>
      <c r="L66" s="8" t="e">
        <f t="shared" si="7"/>
        <v>#VALUE!</v>
      </c>
      <c r="M66" s="8" t="e">
        <f t="shared" si="8"/>
        <v>#VALUE!</v>
      </c>
      <c r="N66" s="3" t="e">
        <f t="shared" si="9"/>
        <v>#VALUE!</v>
      </c>
      <c r="O66" s="3" t="e">
        <f t="shared" si="10"/>
        <v>#VALUE!</v>
      </c>
      <c r="P66" s="3">
        <v>284</v>
      </c>
      <c r="Q66" s="3">
        <v>153246</v>
      </c>
      <c r="R66" s="3">
        <v>3</v>
      </c>
      <c r="T66" t="e">
        <f t="shared" si="12"/>
        <v>#VALUE!</v>
      </c>
      <c r="U66" t="e">
        <f t="shared" si="11"/>
        <v>#VALUE!</v>
      </c>
    </row>
    <row r="67" spans="1:21" x14ac:dyDescent="0.35">
      <c r="A67" s="1">
        <v>66</v>
      </c>
      <c r="B67" s="8">
        <v>191</v>
      </c>
      <c r="C67" s="3" t="e">
        <f t="shared" ref="C67:C130" si="21">VALUE(MID(U67,MOD(A67,5)+1,1))</f>
        <v>#VALUE!</v>
      </c>
      <c r="D67" s="8" t="e">
        <f t="shared" si="16"/>
        <v>#VALUE!</v>
      </c>
      <c r="E67" s="3" t="e">
        <f t="shared" ref="E67:E130" si="22">VALUE(MID(U67,(5-MOD(A67,4)),1))</f>
        <v>#VALUE!</v>
      </c>
      <c r="F67" s="8" t="e">
        <f t="shared" si="17"/>
        <v>#VALUE!</v>
      </c>
      <c r="G67" s="3" t="e">
        <f t="shared" si="18"/>
        <v>#VALUE!</v>
      </c>
      <c r="H67" s="3">
        <v>495</v>
      </c>
      <c r="I67" s="8" t="e">
        <f t="shared" si="19"/>
        <v>#VALUE!</v>
      </c>
      <c r="J67" s="3">
        <v>130694</v>
      </c>
      <c r="K67" s="3" t="e">
        <f t="shared" si="20"/>
        <v>#VALUE!</v>
      </c>
      <c r="L67" s="8" t="e">
        <f t="shared" ref="L67:L130" si="23">VLOOKUP(O67,$Z$2:$AA$5,2,FALSE)</f>
        <v>#VALUE!</v>
      </c>
      <c r="M67" s="8" t="e">
        <f t="shared" ref="M67:M130" si="24">VLOOKUP(N67,$Z$8:$AA$10,2,FALSE)</f>
        <v>#VALUE!</v>
      </c>
      <c r="N67" s="3" t="e">
        <f t="shared" ref="N67:N130" si="25">VALUE(MID(U67,(5-MOD(A67,3)),1))</f>
        <v>#VALUE!</v>
      </c>
      <c r="O67" s="3" t="e">
        <f t="shared" ref="O67:O130" si="26">N68+N69</f>
        <v>#VALUE!</v>
      </c>
      <c r="P67" s="3">
        <v>284</v>
      </c>
      <c r="Q67" s="3">
        <v>116002</v>
      </c>
      <c r="R67" s="3">
        <v>5</v>
      </c>
      <c r="T67" t="e">
        <f t="shared" si="12"/>
        <v>#VALUE!</v>
      </c>
      <c r="U67" t="e">
        <f t="shared" ref="U67:U130" si="27">DEC2BIN(T67)</f>
        <v>#VALUE!</v>
      </c>
    </row>
    <row r="68" spans="1:21" x14ac:dyDescent="0.35">
      <c r="A68" s="1">
        <v>67</v>
      </c>
      <c r="B68" s="8">
        <v>248</v>
      </c>
      <c r="C68" s="3" t="e">
        <f t="shared" si="21"/>
        <v>#VALUE!</v>
      </c>
      <c r="D68" s="8" t="e">
        <f t="shared" si="16"/>
        <v>#VALUE!</v>
      </c>
      <c r="E68" s="3" t="e">
        <f t="shared" si="22"/>
        <v>#VALUE!</v>
      </c>
      <c r="F68" s="8" t="e">
        <f t="shared" si="17"/>
        <v>#VALUE!</v>
      </c>
      <c r="G68" s="3" t="e">
        <f t="shared" si="18"/>
        <v>#VALUE!</v>
      </c>
      <c r="H68" s="3">
        <v>652</v>
      </c>
      <c r="I68" s="8" t="e">
        <f t="shared" si="19"/>
        <v>#VALUE!</v>
      </c>
      <c r="J68" s="3">
        <v>296722</v>
      </c>
      <c r="K68" s="3" t="e">
        <f t="shared" si="20"/>
        <v>#VALUE!</v>
      </c>
      <c r="L68" s="8" t="e">
        <f t="shared" si="23"/>
        <v>#VALUE!</v>
      </c>
      <c r="M68" s="8" t="e">
        <f t="shared" si="24"/>
        <v>#VALUE!</v>
      </c>
      <c r="N68" s="3" t="e">
        <f t="shared" si="25"/>
        <v>#VALUE!</v>
      </c>
      <c r="O68" s="3" t="e">
        <f t="shared" si="26"/>
        <v>#VALUE!</v>
      </c>
      <c r="P68" s="3">
        <v>281</v>
      </c>
      <c r="Q68" s="3">
        <v>251768</v>
      </c>
      <c r="R68" s="3">
        <v>4</v>
      </c>
      <c r="T68" t="e">
        <f t="shared" ref="T68:T131" si="28">T67+1</f>
        <v>#VALUE!</v>
      </c>
      <c r="U68" t="e">
        <f t="shared" si="27"/>
        <v>#VALUE!</v>
      </c>
    </row>
    <row r="69" spans="1:21" x14ac:dyDescent="0.35">
      <c r="A69" s="1">
        <v>68</v>
      </c>
      <c r="B69" s="8">
        <v>85</v>
      </c>
      <c r="C69" s="3" t="e">
        <f t="shared" si="21"/>
        <v>#VALUE!</v>
      </c>
      <c r="D69" s="8" t="e">
        <f t="shared" si="16"/>
        <v>#VALUE!</v>
      </c>
      <c r="E69" s="3" t="e">
        <f t="shared" si="22"/>
        <v>#VALUE!</v>
      </c>
      <c r="F69" s="8" t="e">
        <f t="shared" si="17"/>
        <v>#VALUE!</v>
      </c>
      <c r="G69" s="3" t="e">
        <f t="shared" si="18"/>
        <v>#VALUE!</v>
      </c>
      <c r="H69" s="3">
        <v>273</v>
      </c>
      <c r="I69" s="8" t="e">
        <f t="shared" si="19"/>
        <v>#VALUE!</v>
      </c>
      <c r="J69" s="3">
        <v>240114</v>
      </c>
      <c r="K69" s="3" t="e">
        <f t="shared" si="20"/>
        <v>#VALUE!</v>
      </c>
      <c r="L69" s="8" t="e">
        <f t="shared" si="23"/>
        <v>#VALUE!</v>
      </c>
      <c r="M69" s="8" t="e">
        <f t="shared" si="24"/>
        <v>#VALUE!</v>
      </c>
      <c r="N69" s="3" t="e">
        <f t="shared" si="25"/>
        <v>#VALUE!</v>
      </c>
      <c r="O69" s="3" t="e">
        <f t="shared" si="26"/>
        <v>#VALUE!</v>
      </c>
      <c r="P69" s="3">
        <v>399</v>
      </c>
      <c r="Q69" s="3">
        <v>126431</v>
      </c>
      <c r="R69" s="3">
        <v>4</v>
      </c>
      <c r="T69" t="e">
        <f t="shared" si="28"/>
        <v>#VALUE!</v>
      </c>
      <c r="U69" t="e">
        <f t="shared" si="27"/>
        <v>#VALUE!</v>
      </c>
    </row>
    <row r="70" spans="1:21" x14ac:dyDescent="0.35">
      <c r="A70" s="1">
        <v>69</v>
      </c>
      <c r="B70" s="8">
        <v>235</v>
      </c>
      <c r="C70" s="3" t="e">
        <f t="shared" si="21"/>
        <v>#VALUE!</v>
      </c>
      <c r="D70" s="8" t="e">
        <f t="shared" si="16"/>
        <v>#VALUE!</v>
      </c>
      <c r="E70" s="3" t="e">
        <f t="shared" si="22"/>
        <v>#VALUE!</v>
      </c>
      <c r="F70" s="8" t="e">
        <f t="shared" si="17"/>
        <v>#VALUE!</v>
      </c>
      <c r="G70" s="3" t="e">
        <f t="shared" si="18"/>
        <v>#VALUE!</v>
      </c>
      <c r="H70" s="3">
        <v>881</v>
      </c>
      <c r="I70" s="8" t="e">
        <f t="shared" si="19"/>
        <v>#VALUE!</v>
      </c>
      <c r="J70" s="3">
        <v>243317</v>
      </c>
      <c r="K70" s="3" t="e">
        <f t="shared" si="20"/>
        <v>#VALUE!</v>
      </c>
      <c r="L70" s="8" t="e">
        <f t="shared" si="23"/>
        <v>#VALUE!</v>
      </c>
      <c r="M70" s="8" t="e">
        <f t="shared" si="24"/>
        <v>#VALUE!</v>
      </c>
      <c r="N70" s="3" t="e">
        <f t="shared" si="25"/>
        <v>#VALUE!</v>
      </c>
      <c r="O70" s="3" t="e">
        <f t="shared" si="26"/>
        <v>#VALUE!</v>
      </c>
      <c r="P70" s="3">
        <v>329</v>
      </c>
      <c r="Q70" s="3">
        <v>184191</v>
      </c>
      <c r="R70" s="3">
        <v>3</v>
      </c>
      <c r="T70" t="e">
        <f t="shared" si="28"/>
        <v>#VALUE!</v>
      </c>
      <c r="U70" t="e">
        <f t="shared" si="27"/>
        <v>#VALUE!</v>
      </c>
    </row>
    <row r="71" spans="1:21" x14ac:dyDescent="0.35">
      <c r="A71" s="1">
        <v>70</v>
      </c>
      <c r="B71" s="8">
        <v>134</v>
      </c>
      <c r="C71" s="3" t="e">
        <f t="shared" si="21"/>
        <v>#VALUE!</v>
      </c>
      <c r="D71" s="8" t="e">
        <f t="shared" si="16"/>
        <v>#VALUE!</v>
      </c>
      <c r="E71" s="3" t="e">
        <f t="shared" si="22"/>
        <v>#VALUE!</v>
      </c>
      <c r="F71" s="8" t="e">
        <f t="shared" si="17"/>
        <v>#VALUE!</v>
      </c>
      <c r="G71" s="3" t="e">
        <f t="shared" si="18"/>
        <v>#VALUE!</v>
      </c>
      <c r="H71" s="3">
        <v>155</v>
      </c>
      <c r="I71" s="8" t="e">
        <f t="shared" si="19"/>
        <v>#VALUE!</v>
      </c>
      <c r="J71" s="3">
        <v>122047</v>
      </c>
      <c r="K71" s="3" t="e">
        <f t="shared" si="20"/>
        <v>#VALUE!</v>
      </c>
      <c r="L71" s="8" t="e">
        <f t="shared" si="23"/>
        <v>#VALUE!</v>
      </c>
      <c r="M71" s="8" t="e">
        <f t="shared" si="24"/>
        <v>#VALUE!</v>
      </c>
      <c r="N71" s="3" t="e">
        <f t="shared" si="25"/>
        <v>#VALUE!</v>
      </c>
      <c r="O71" s="3" t="e">
        <f t="shared" si="26"/>
        <v>#VALUE!</v>
      </c>
      <c r="P71" s="3">
        <v>288</v>
      </c>
      <c r="Q71" s="3">
        <v>109906</v>
      </c>
      <c r="R71" s="3">
        <v>4</v>
      </c>
      <c r="T71" t="e">
        <f t="shared" si="28"/>
        <v>#VALUE!</v>
      </c>
      <c r="U71" t="e">
        <f t="shared" si="27"/>
        <v>#VALUE!</v>
      </c>
    </row>
    <row r="72" spans="1:21" x14ac:dyDescent="0.35">
      <c r="A72" s="1">
        <v>71</v>
      </c>
      <c r="B72" s="8">
        <v>230</v>
      </c>
      <c r="C72" s="3" t="e">
        <f t="shared" si="21"/>
        <v>#VALUE!</v>
      </c>
      <c r="D72" s="8" t="e">
        <f t="shared" si="16"/>
        <v>#VALUE!</v>
      </c>
      <c r="E72" s="3" t="e">
        <f t="shared" si="22"/>
        <v>#VALUE!</v>
      </c>
      <c r="F72" s="8" t="e">
        <f t="shared" si="17"/>
        <v>#VALUE!</v>
      </c>
      <c r="G72" s="3" t="e">
        <f t="shared" si="18"/>
        <v>#VALUE!</v>
      </c>
      <c r="H72" s="3">
        <v>628</v>
      </c>
      <c r="I72" s="8" t="e">
        <f t="shared" si="19"/>
        <v>#VALUE!</v>
      </c>
      <c r="J72" s="3">
        <v>260569</v>
      </c>
      <c r="K72" s="3" t="e">
        <f t="shared" si="20"/>
        <v>#VALUE!</v>
      </c>
      <c r="L72" s="8" t="e">
        <f t="shared" si="23"/>
        <v>#VALUE!</v>
      </c>
      <c r="M72" s="8" t="e">
        <f t="shared" si="24"/>
        <v>#VALUE!</v>
      </c>
      <c r="N72" s="3" t="e">
        <f t="shared" si="25"/>
        <v>#VALUE!</v>
      </c>
      <c r="O72" s="3" t="e">
        <f t="shared" si="26"/>
        <v>#VALUE!</v>
      </c>
      <c r="P72" s="3">
        <v>561</v>
      </c>
      <c r="Q72" s="3">
        <v>144775</v>
      </c>
      <c r="R72" s="3">
        <v>5</v>
      </c>
      <c r="T72" t="e">
        <f t="shared" si="28"/>
        <v>#VALUE!</v>
      </c>
      <c r="U72" t="e">
        <f t="shared" si="27"/>
        <v>#VALUE!</v>
      </c>
    </row>
    <row r="73" spans="1:21" x14ac:dyDescent="0.35">
      <c r="A73" s="1">
        <v>72</v>
      </c>
      <c r="B73" s="8">
        <v>102</v>
      </c>
      <c r="C73" s="3" t="e">
        <f t="shared" si="21"/>
        <v>#VALUE!</v>
      </c>
      <c r="D73" s="8" t="e">
        <f t="shared" si="16"/>
        <v>#VALUE!</v>
      </c>
      <c r="E73" s="3" t="e">
        <f t="shared" si="22"/>
        <v>#VALUE!</v>
      </c>
      <c r="F73" s="8" t="e">
        <f t="shared" si="17"/>
        <v>#VALUE!</v>
      </c>
      <c r="G73" s="3" t="e">
        <f t="shared" si="18"/>
        <v>#VALUE!</v>
      </c>
      <c r="H73" s="3">
        <v>155</v>
      </c>
      <c r="I73" s="8" t="e">
        <f t="shared" si="19"/>
        <v>#VALUE!</v>
      </c>
      <c r="J73" s="3">
        <v>277114</v>
      </c>
      <c r="K73" s="3" t="e">
        <f t="shared" si="20"/>
        <v>#VALUE!</v>
      </c>
      <c r="L73" s="8" t="e">
        <f t="shared" si="23"/>
        <v>#VALUE!</v>
      </c>
      <c r="M73" s="8" t="e">
        <f t="shared" si="24"/>
        <v>#VALUE!</v>
      </c>
      <c r="N73" s="3" t="e">
        <f t="shared" si="25"/>
        <v>#VALUE!</v>
      </c>
      <c r="O73" s="3" t="e">
        <f t="shared" si="26"/>
        <v>#VALUE!</v>
      </c>
      <c r="P73" s="3">
        <v>449</v>
      </c>
      <c r="Q73" s="3">
        <v>185663</v>
      </c>
      <c r="R73" s="3">
        <v>3</v>
      </c>
      <c r="T73" t="e">
        <f t="shared" si="28"/>
        <v>#VALUE!</v>
      </c>
      <c r="U73" t="e">
        <f t="shared" si="27"/>
        <v>#VALUE!</v>
      </c>
    </row>
    <row r="74" spans="1:21" x14ac:dyDescent="0.35">
      <c r="A74" s="1">
        <v>73</v>
      </c>
      <c r="B74" s="8">
        <v>259</v>
      </c>
      <c r="C74" s="3" t="e">
        <f t="shared" si="21"/>
        <v>#VALUE!</v>
      </c>
      <c r="D74" s="8" t="e">
        <f t="shared" si="16"/>
        <v>#VALUE!</v>
      </c>
      <c r="E74" s="3" t="e">
        <f t="shared" si="22"/>
        <v>#VALUE!</v>
      </c>
      <c r="F74" s="8" t="e">
        <f t="shared" si="17"/>
        <v>#VALUE!</v>
      </c>
      <c r="G74" s="3" t="e">
        <f t="shared" si="18"/>
        <v>#VALUE!</v>
      </c>
      <c r="H74" s="3">
        <v>630</v>
      </c>
      <c r="I74" s="8" t="e">
        <f t="shared" si="19"/>
        <v>#VALUE!</v>
      </c>
      <c r="J74" s="3">
        <v>264248</v>
      </c>
      <c r="K74" s="3" t="e">
        <f t="shared" si="20"/>
        <v>#VALUE!</v>
      </c>
      <c r="L74" s="8" t="e">
        <f t="shared" si="23"/>
        <v>#VALUE!</v>
      </c>
      <c r="M74" s="8" t="e">
        <f t="shared" si="24"/>
        <v>#VALUE!</v>
      </c>
      <c r="N74" s="3" t="e">
        <f t="shared" si="25"/>
        <v>#VALUE!</v>
      </c>
      <c r="O74" s="3" t="e">
        <f t="shared" si="26"/>
        <v>#VALUE!</v>
      </c>
      <c r="P74" s="3">
        <v>270</v>
      </c>
      <c r="Q74" s="3">
        <v>136078</v>
      </c>
      <c r="R74" s="3">
        <v>4</v>
      </c>
      <c r="T74" t="e">
        <f t="shared" si="28"/>
        <v>#VALUE!</v>
      </c>
      <c r="U74" t="e">
        <f t="shared" si="27"/>
        <v>#VALUE!</v>
      </c>
    </row>
    <row r="75" spans="1:21" x14ac:dyDescent="0.35">
      <c r="A75" s="1">
        <v>74</v>
      </c>
      <c r="B75" s="8">
        <v>55</v>
      </c>
      <c r="C75" s="3" t="e">
        <f t="shared" si="21"/>
        <v>#VALUE!</v>
      </c>
      <c r="D75" s="8" t="e">
        <f t="shared" si="16"/>
        <v>#VALUE!</v>
      </c>
      <c r="E75" s="3" t="e">
        <f t="shared" si="22"/>
        <v>#VALUE!</v>
      </c>
      <c r="F75" s="8" t="e">
        <f t="shared" si="17"/>
        <v>#VALUE!</v>
      </c>
      <c r="G75" s="3" t="e">
        <f t="shared" si="18"/>
        <v>#VALUE!</v>
      </c>
      <c r="H75" s="3">
        <v>319</v>
      </c>
      <c r="I75" s="8" t="e">
        <f t="shared" si="19"/>
        <v>#VALUE!</v>
      </c>
      <c r="J75" s="3">
        <v>143616</v>
      </c>
      <c r="K75" s="3" t="e">
        <f t="shared" si="20"/>
        <v>#VALUE!</v>
      </c>
      <c r="L75" s="8" t="e">
        <f t="shared" si="23"/>
        <v>#VALUE!</v>
      </c>
      <c r="M75" s="8" t="e">
        <f t="shared" si="24"/>
        <v>#VALUE!</v>
      </c>
      <c r="N75" s="3" t="e">
        <f t="shared" si="25"/>
        <v>#VALUE!</v>
      </c>
      <c r="O75" s="3" t="e">
        <f t="shared" si="26"/>
        <v>#VALUE!</v>
      </c>
      <c r="P75" s="3">
        <v>235</v>
      </c>
      <c r="Q75" s="3">
        <v>153386</v>
      </c>
      <c r="R75" s="3">
        <v>3</v>
      </c>
      <c r="T75" t="e">
        <f t="shared" si="28"/>
        <v>#VALUE!</v>
      </c>
      <c r="U75" t="e">
        <f t="shared" si="27"/>
        <v>#VALUE!</v>
      </c>
    </row>
    <row r="76" spans="1:21" x14ac:dyDescent="0.35">
      <c r="A76" s="1">
        <v>75</v>
      </c>
      <c r="B76" s="8">
        <v>32</v>
      </c>
      <c r="C76" s="3" t="e">
        <f t="shared" si="21"/>
        <v>#VALUE!</v>
      </c>
      <c r="D76" s="8" t="e">
        <f t="shared" si="16"/>
        <v>#VALUE!</v>
      </c>
      <c r="E76" s="3" t="e">
        <f t="shared" si="22"/>
        <v>#VALUE!</v>
      </c>
      <c r="F76" s="8" t="e">
        <f t="shared" si="17"/>
        <v>#VALUE!</v>
      </c>
      <c r="G76" s="3" t="e">
        <f t="shared" si="18"/>
        <v>#VALUE!</v>
      </c>
      <c r="H76" s="3">
        <v>433</v>
      </c>
      <c r="I76" s="8" t="e">
        <f t="shared" si="19"/>
        <v>#VALUE!</v>
      </c>
      <c r="J76" s="3">
        <v>160876</v>
      </c>
      <c r="K76" s="3" t="e">
        <f t="shared" si="20"/>
        <v>#VALUE!</v>
      </c>
      <c r="L76" s="8" t="e">
        <f t="shared" si="23"/>
        <v>#VALUE!</v>
      </c>
      <c r="M76" s="8" t="e">
        <f t="shared" si="24"/>
        <v>#VALUE!</v>
      </c>
      <c r="N76" s="3" t="e">
        <f t="shared" si="25"/>
        <v>#VALUE!</v>
      </c>
      <c r="O76" s="3" t="e">
        <f t="shared" si="26"/>
        <v>#VALUE!</v>
      </c>
      <c r="P76" s="3">
        <v>286</v>
      </c>
      <c r="Q76" s="3">
        <v>112109</v>
      </c>
      <c r="R76" s="3">
        <v>3</v>
      </c>
      <c r="T76" t="e">
        <f t="shared" si="28"/>
        <v>#VALUE!</v>
      </c>
      <c r="U76" t="e">
        <f t="shared" si="27"/>
        <v>#VALUE!</v>
      </c>
    </row>
    <row r="77" spans="1:21" x14ac:dyDescent="0.35">
      <c r="A77" s="1">
        <v>76</v>
      </c>
      <c r="B77" s="8">
        <v>206</v>
      </c>
      <c r="C77" s="3" t="e">
        <f t="shared" si="21"/>
        <v>#VALUE!</v>
      </c>
      <c r="D77" s="8" t="e">
        <f t="shared" si="16"/>
        <v>#VALUE!</v>
      </c>
      <c r="E77" s="3" t="e">
        <f t="shared" si="22"/>
        <v>#VALUE!</v>
      </c>
      <c r="F77" s="8" t="e">
        <f t="shared" si="17"/>
        <v>#VALUE!</v>
      </c>
      <c r="G77" s="3" t="e">
        <f t="shared" si="18"/>
        <v>#VALUE!</v>
      </c>
      <c r="H77" s="3">
        <v>746</v>
      </c>
      <c r="I77" s="8" t="e">
        <f t="shared" si="19"/>
        <v>#VALUE!</v>
      </c>
      <c r="J77" s="3">
        <v>225047</v>
      </c>
      <c r="K77" s="3" t="e">
        <f t="shared" si="20"/>
        <v>#VALUE!</v>
      </c>
      <c r="L77" s="8" t="e">
        <f t="shared" si="23"/>
        <v>#VALUE!</v>
      </c>
      <c r="M77" s="8" t="e">
        <f t="shared" si="24"/>
        <v>#VALUE!</v>
      </c>
      <c r="N77" s="3" t="e">
        <f t="shared" si="25"/>
        <v>#VALUE!</v>
      </c>
      <c r="O77" s="3" t="e">
        <f t="shared" si="26"/>
        <v>#VALUE!</v>
      </c>
      <c r="P77" s="3">
        <v>428</v>
      </c>
      <c r="Q77" s="3">
        <v>193162</v>
      </c>
      <c r="R77" s="3">
        <v>3</v>
      </c>
      <c r="T77" t="e">
        <f t="shared" si="28"/>
        <v>#VALUE!</v>
      </c>
      <c r="U77" t="e">
        <f t="shared" si="27"/>
        <v>#VALUE!</v>
      </c>
    </row>
    <row r="78" spans="1:21" x14ac:dyDescent="0.35">
      <c r="A78" s="1">
        <v>77</v>
      </c>
      <c r="B78" s="8">
        <v>268</v>
      </c>
      <c r="C78" s="3" t="e">
        <f t="shared" si="21"/>
        <v>#VALUE!</v>
      </c>
      <c r="D78" s="8" t="e">
        <f t="shared" si="16"/>
        <v>#VALUE!</v>
      </c>
      <c r="E78" s="3" t="e">
        <f t="shared" si="22"/>
        <v>#VALUE!</v>
      </c>
      <c r="F78" s="8" t="e">
        <f t="shared" si="17"/>
        <v>#VALUE!</v>
      </c>
      <c r="G78" s="3" t="e">
        <f t="shared" si="18"/>
        <v>#VALUE!</v>
      </c>
      <c r="H78" s="3">
        <v>833</v>
      </c>
      <c r="I78" s="8" t="e">
        <f t="shared" si="19"/>
        <v>#VALUE!</v>
      </c>
      <c r="J78" s="3">
        <v>215913</v>
      </c>
      <c r="K78" s="3" t="e">
        <f t="shared" si="20"/>
        <v>#VALUE!</v>
      </c>
      <c r="L78" s="8" t="e">
        <f t="shared" si="23"/>
        <v>#VALUE!</v>
      </c>
      <c r="M78" s="8" t="e">
        <f t="shared" si="24"/>
        <v>#VALUE!</v>
      </c>
      <c r="N78" s="3" t="e">
        <f t="shared" si="25"/>
        <v>#VALUE!</v>
      </c>
      <c r="O78" s="3" t="e">
        <f t="shared" si="26"/>
        <v>#VALUE!</v>
      </c>
      <c r="P78" s="3">
        <v>269</v>
      </c>
      <c r="Q78" s="3">
        <v>199502</v>
      </c>
      <c r="R78" s="3">
        <v>4</v>
      </c>
      <c r="T78" t="e">
        <f t="shared" si="28"/>
        <v>#VALUE!</v>
      </c>
      <c r="U78" t="e">
        <f t="shared" si="27"/>
        <v>#VALUE!</v>
      </c>
    </row>
    <row r="79" spans="1:21" x14ac:dyDescent="0.35">
      <c r="A79" s="1">
        <v>78</v>
      </c>
      <c r="B79" s="8">
        <v>157</v>
      </c>
      <c r="C79" s="3" t="e">
        <f t="shared" si="21"/>
        <v>#VALUE!</v>
      </c>
      <c r="D79" s="8" t="e">
        <f t="shared" si="16"/>
        <v>#VALUE!</v>
      </c>
      <c r="E79" s="3" t="e">
        <f t="shared" si="22"/>
        <v>#VALUE!</v>
      </c>
      <c r="F79" s="8" t="e">
        <f t="shared" si="17"/>
        <v>#VALUE!</v>
      </c>
      <c r="G79" s="3" t="e">
        <f t="shared" si="18"/>
        <v>#VALUE!</v>
      </c>
      <c r="H79" s="3">
        <v>802</v>
      </c>
      <c r="I79" s="8" t="e">
        <f t="shared" si="19"/>
        <v>#VALUE!</v>
      </c>
      <c r="J79" s="3">
        <v>150802</v>
      </c>
      <c r="K79" s="3" t="e">
        <f t="shared" si="20"/>
        <v>#VALUE!</v>
      </c>
      <c r="L79" s="8" t="e">
        <f t="shared" si="23"/>
        <v>#VALUE!</v>
      </c>
      <c r="M79" s="8" t="e">
        <f t="shared" si="24"/>
        <v>#VALUE!</v>
      </c>
      <c r="N79" s="3" t="e">
        <f t="shared" si="25"/>
        <v>#VALUE!</v>
      </c>
      <c r="O79" s="3" t="e">
        <f t="shared" si="26"/>
        <v>#VALUE!</v>
      </c>
      <c r="P79" s="3">
        <v>228</v>
      </c>
      <c r="Q79" s="3">
        <v>140104</v>
      </c>
      <c r="R79" s="3">
        <v>5</v>
      </c>
      <c r="T79" t="e">
        <f t="shared" si="28"/>
        <v>#VALUE!</v>
      </c>
      <c r="U79" t="e">
        <f t="shared" si="27"/>
        <v>#VALUE!</v>
      </c>
    </row>
    <row r="80" spans="1:21" x14ac:dyDescent="0.35">
      <c r="A80" s="1">
        <v>79</v>
      </c>
      <c r="B80" s="8">
        <v>83</v>
      </c>
      <c r="C80" s="3" t="e">
        <f t="shared" si="21"/>
        <v>#VALUE!</v>
      </c>
      <c r="D80" s="8" t="e">
        <f t="shared" si="16"/>
        <v>#VALUE!</v>
      </c>
      <c r="E80" s="3" t="e">
        <f t="shared" si="22"/>
        <v>#VALUE!</v>
      </c>
      <c r="F80" s="8" t="e">
        <f t="shared" si="17"/>
        <v>#VALUE!</v>
      </c>
      <c r="G80" s="3" t="e">
        <f t="shared" si="18"/>
        <v>#VALUE!</v>
      </c>
      <c r="H80" s="3">
        <v>293</v>
      </c>
      <c r="I80" s="8" t="e">
        <f t="shared" si="19"/>
        <v>#VALUE!</v>
      </c>
      <c r="J80" s="3">
        <v>210996</v>
      </c>
      <c r="K80" s="3" t="e">
        <f t="shared" si="20"/>
        <v>#VALUE!</v>
      </c>
      <c r="L80" s="8" t="e">
        <f t="shared" si="23"/>
        <v>#VALUE!</v>
      </c>
      <c r="M80" s="8" t="e">
        <f t="shared" si="24"/>
        <v>#VALUE!</v>
      </c>
      <c r="N80" s="3" t="e">
        <f t="shared" si="25"/>
        <v>#VALUE!</v>
      </c>
      <c r="O80" s="3" t="e">
        <f t="shared" si="26"/>
        <v>#VALUE!</v>
      </c>
      <c r="P80" s="3">
        <v>68</v>
      </c>
      <c r="Q80" s="3">
        <v>202724</v>
      </c>
      <c r="R80" s="3">
        <v>3</v>
      </c>
      <c r="T80" t="e">
        <f t="shared" si="28"/>
        <v>#VALUE!</v>
      </c>
      <c r="U80" t="e">
        <f t="shared" si="27"/>
        <v>#VALUE!</v>
      </c>
    </row>
    <row r="81" spans="1:21" x14ac:dyDescent="0.35">
      <c r="A81" s="1">
        <v>80</v>
      </c>
      <c r="B81" s="8">
        <v>39</v>
      </c>
      <c r="C81" s="3" t="e">
        <f t="shared" si="21"/>
        <v>#VALUE!</v>
      </c>
      <c r="D81" s="8" t="e">
        <f t="shared" si="16"/>
        <v>#VALUE!</v>
      </c>
      <c r="E81" s="3" t="e">
        <f t="shared" si="22"/>
        <v>#VALUE!</v>
      </c>
      <c r="F81" s="8" t="e">
        <f t="shared" si="17"/>
        <v>#VALUE!</v>
      </c>
      <c r="G81" s="3" t="e">
        <f t="shared" si="18"/>
        <v>#VALUE!</v>
      </c>
      <c r="H81" s="3">
        <v>119</v>
      </c>
      <c r="I81" s="8" t="e">
        <f t="shared" si="19"/>
        <v>#VALUE!</v>
      </c>
      <c r="J81" s="3">
        <v>133910</v>
      </c>
      <c r="K81" s="3" t="e">
        <f t="shared" si="20"/>
        <v>#VALUE!</v>
      </c>
      <c r="L81" s="8" t="e">
        <f t="shared" si="23"/>
        <v>#VALUE!</v>
      </c>
      <c r="M81" s="8" t="e">
        <f t="shared" si="24"/>
        <v>#VALUE!</v>
      </c>
      <c r="N81" s="3" t="e">
        <f t="shared" si="25"/>
        <v>#VALUE!</v>
      </c>
      <c r="O81" s="3" t="e">
        <f t="shared" si="26"/>
        <v>#VALUE!</v>
      </c>
      <c r="P81" s="3">
        <v>139</v>
      </c>
      <c r="Q81" s="3">
        <v>216681</v>
      </c>
      <c r="R81" s="3">
        <v>3</v>
      </c>
      <c r="T81" t="e">
        <f t="shared" si="28"/>
        <v>#VALUE!</v>
      </c>
      <c r="U81" t="e">
        <f t="shared" si="27"/>
        <v>#VALUE!</v>
      </c>
    </row>
    <row r="82" spans="1:21" x14ac:dyDescent="0.35">
      <c r="A82" s="1">
        <v>81</v>
      </c>
      <c r="B82" s="8">
        <v>112</v>
      </c>
      <c r="C82" s="3" t="e">
        <f t="shared" si="21"/>
        <v>#VALUE!</v>
      </c>
      <c r="D82" s="8" t="e">
        <f t="shared" si="16"/>
        <v>#VALUE!</v>
      </c>
      <c r="E82" s="3" t="e">
        <f t="shared" si="22"/>
        <v>#VALUE!</v>
      </c>
      <c r="F82" s="8" t="e">
        <f t="shared" si="17"/>
        <v>#VALUE!</v>
      </c>
      <c r="G82" s="3" t="e">
        <f t="shared" si="18"/>
        <v>#VALUE!</v>
      </c>
      <c r="H82" s="3">
        <v>470</v>
      </c>
      <c r="I82" s="8" t="e">
        <f t="shared" si="19"/>
        <v>#VALUE!</v>
      </c>
      <c r="J82" s="3">
        <v>138011</v>
      </c>
      <c r="K82" s="3" t="e">
        <f t="shared" si="20"/>
        <v>#VALUE!</v>
      </c>
      <c r="L82" s="8" t="e">
        <f t="shared" si="23"/>
        <v>#VALUE!</v>
      </c>
      <c r="M82" s="8" t="e">
        <f t="shared" si="24"/>
        <v>#VALUE!</v>
      </c>
      <c r="N82" s="3" t="e">
        <f t="shared" si="25"/>
        <v>#VALUE!</v>
      </c>
      <c r="O82" s="3" t="e">
        <f t="shared" si="26"/>
        <v>#VALUE!</v>
      </c>
      <c r="P82" s="3">
        <v>275</v>
      </c>
      <c r="Q82" s="3">
        <v>201386</v>
      </c>
      <c r="R82" s="3">
        <v>2</v>
      </c>
      <c r="T82" t="e">
        <f t="shared" si="28"/>
        <v>#VALUE!</v>
      </c>
      <c r="U82" t="e">
        <f t="shared" si="27"/>
        <v>#VALUE!</v>
      </c>
    </row>
    <row r="83" spans="1:21" x14ac:dyDescent="0.35">
      <c r="A83" s="1">
        <v>82</v>
      </c>
      <c r="B83" s="8">
        <v>69</v>
      </c>
      <c r="C83" s="3" t="e">
        <f t="shared" si="21"/>
        <v>#VALUE!</v>
      </c>
      <c r="D83" s="8" t="e">
        <f t="shared" si="16"/>
        <v>#VALUE!</v>
      </c>
      <c r="E83" s="3" t="e">
        <f t="shared" si="22"/>
        <v>#VALUE!</v>
      </c>
      <c r="F83" s="8" t="e">
        <f t="shared" si="17"/>
        <v>#VALUE!</v>
      </c>
      <c r="G83" s="3" t="e">
        <f t="shared" si="18"/>
        <v>#VALUE!</v>
      </c>
      <c r="H83" s="3">
        <v>329</v>
      </c>
      <c r="I83" s="8" t="e">
        <f t="shared" si="19"/>
        <v>#VALUE!</v>
      </c>
      <c r="J83" s="3">
        <v>184191</v>
      </c>
      <c r="K83" s="3" t="e">
        <f t="shared" si="20"/>
        <v>#VALUE!</v>
      </c>
      <c r="L83" s="8" t="e">
        <f t="shared" si="23"/>
        <v>#VALUE!</v>
      </c>
      <c r="M83" s="8" t="e">
        <f t="shared" si="24"/>
        <v>#VALUE!</v>
      </c>
      <c r="N83" s="3" t="e">
        <f t="shared" si="25"/>
        <v>#VALUE!</v>
      </c>
      <c r="O83" s="3" t="e">
        <f t="shared" si="26"/>
        <v>#VALUE!</v>
      </c>
      <c r="P83" s="3">
        <v>285</v>
      </c>
      <c r="Q83" s="3">
        <v>209592</v>
      </c>
      <c r="R83" s="3">
        <v>3</v>
      </c>
      <c r="T83" t="e">
        <f t="shared" si="28"/>
        <v>#VALUE!</v>
      </c>
      <c r="U83" t="e">
        <f t="shared" si="27"/>
        <v>#VALUE!</v>
      </c>
    </row>
    <row r="84" spans="1:21" x14ac:dyDescent="0.35">
      <c r="A84" s="1">
        <v>83</v>
      </c>
      <c r="B84" s="8">
        <v>278</v>
      </c>
      <c r="C84" s="3" t="e">
        <f t="shared" si="21"/>
        <v>#VALUE!</v>
      </c>
      <c r="D84" s="8" t="e">
        <f t="shared" si="16"/>
        <v>#VALUE!</v>
      </c>
      <c r="E84" s="3" t="e">
        <f t="shared" si="22"/>
        <v>#VALUE!</v>
      </c>
      <c r="F84" s="8" t="e">
        <f t="shared" si="17"/>
        <v>#VALUE!</v>
      </c>
      <c r="G84" s="3" t="e">
        <f t="shared" si="18"/>
        <v>#VALUE!</v>
      </c>
      <c r="H84" s="3">
        <v>715</v>
      </c>
      <c r="I84" s="8" t="e">
        <f t="shared" si="19"/>
        <v>#VALUE!</v>
      </c>
      <c r="J84" s="3">
        <v>148599</v>
      </c>
      <c r="K84" s="3" t="e">
        <f t="shared" si="20"/>
        <v>#VALUE!</v>
      </c>
      <c r="L84" s="8" t="e">
        <f t="shared" si="23"/>
        <v>#VALUE!</v>
      </c>
      <c r="M84" s="8" t="e">
        <f t="shared" si="24"/>
        <v>#VALUE!</v>
      </c>
      <c r="N84" s="3" t="e">
        <f t="shared" si="25"/>
        <v>#VALUE!</v>
      </c>
      <c r="O84" s="3" t="e">
        <f t="shared" si="26"/>
        <v>#VALUE!</v>
      </c>
      <c r="P84" s="3">
        <v>293</v>
      </c>
      <c r="Q84" s="3">
        <v>210996</v>
      </c>
      <c r="R84" s="3">
        <v>3</v>
      </c>
      <c r="T84" t="e">
        <f t="shared" si="28"/>
        <v>#VALUE!</v>
      </c>
      <c r="U84" t="e">
        <f t="shared" si="27"/>
        <v>#VALUE!</v>
      </c>
    </row>
    <row r="85" spans="1:21" x14ac:dyDescent="0.35">
      <c r="A85" s="1">
        <v>84</v>
      </c>
      <c r="B85" s="8">
        <v>148</v>
      </c>
      <c r="C85" s="3" t="e">
        <f t="shared" si="21"/>
        <v>#VALUE!</v>
      </c>
      <c r="D85" s="8" t="e">
        <f t="shared" si="16"/>
        <v>#VALUE!</v>
      </c>
      <c r="E85" s="3" t="e">
        <f t="shared" si="22"/>
        <v>#VALUE!</v>
      </c>
      <c r="F85" s="8" t="e">
        <f t="shared" si="17"/>
        <v>#VALUE!</v>
      </c>
      <c r="G85" s="3" t="e">
        <f t="shared" si="18"/>
        <v>#VALUE!</v>
      </c>
      <c r="H85" s="3">
        <v>909</v>
      </c>
      <c r="I85" s="8" t="e">
        <f t="shared" si="19"/>
        <v>#VALUE!</v>
      </c>
      <c r="J85" s="3">
        <v>101421</v>
      </c>
      <c r="K85" s="3" t="e">
        <f t="shared" si="20"/>
        <v>#VALUE!</v>
      </c>
      <c r="L85" s="8" t="e">
        <f t="shared" si="23"/>
        <v>#VALUE!</v>
      </c>
      <c r="M85" s="8" t="e">
        <f t="shared" si="24"/>
        <v>#VALUE!</v>
      </c>
      <c r="N85" s="3" t="e">
        <f t="shared" si="25"/>
        <v>#VALUE!</v>
      </c>
      <c r="O85" s="3" t="e">
        <f t="shared" si="26"/>
        <v>#VALUE!</v>
      </c>
      <c r="P85" s="3">
        <v>79</v>
      </c>
      <c r="Q85" s="3">
        <v>307508</v>
      </c>
      <c r="R85" s="3">
        <v>4</v>
      </c>
      <c r="T85" t="e">
        <f t="shared" si="28"/>
        <v>#VALUE!</v>
      </c>
      <c r="U85" t="e">
        <f t="shared" si="27"/>
        <v>#VALUE!</v>
      </c>
    </row>
    <row r="86" spans="1:21" x14ac:dyDescent="0.35">
      <c r="A86" s="1">
        <v>85</v>
      </c>
      <c r="B86" s="8">
        <v>5</v>
      </c>
      <c r="C86" s="3" t="e">
        <f t="shared" si="21"/>
        <v>#VALUE!</v>
      </c>
      <c r="D86" s="8" t="e">
        <f t="shared" si="16"/>
        <v>#VALUE!</v>
      </c>
      <c r="E86" s="3" t="e">
        <f t="shared" si="22"/>
        <v>#VALUE!</v>
      </c>
      <c r="F86" s="8" t="e">
        <f t="shared" si="17"/>
        <v>#VALUE!</v>
      </c>
      <c r="G86" s="3" t="e">
        <f t="shared" si="18"/>
        <v>#VALUE!</v>
      </c>
      <c r="H86" s="3">
        <v>306</v>
      </c>
      <c r="I86" s="8" t="e">
        <f t="shared" si="19"/>
        <v>#VALUE!</v>
      </c>
      <c r="J86" s="3">
        <v>135253</v>
      </c>
      <c r="K86" s="3" t="e">
        <f t="shared" si="20"/>
        <v>#VALUE!</v>
      </c>
      <c r="L86" s="8" t="e">
        <f t="shared" si="23"/>
        <v>#VALUE!</v>
      </c>
      <c r="M86" s="8" t="e">
        <f t="shared" si="24"/>
        <v>#VALUE!</v>
      </c>
      <c r="N86" s="3" t="e">
        <f t="shared" si="25"/>
        <v>#VALUE!</v>
      </c>
      <c r="O86" s="3" t="e">
        <f t="shared" si="26"/>
        <v>#VALUE!</v>
      </c>
      <c r="P86" s="3">
        <v>273</v>
      </c>
      <c r="Q86" s="3">
        <v>240114</v>
      </c>
      <c r="R86" s="3">
        <v>3</v>
      </c>
      <c r="T86" t="e">
        <f t="shared" si="28"/>
        <v>#VALUE!</v>
      </c>
      <c r="U86" t="e">
        <f t="shared" si="27"/>
        <v>#VALUE!</v>
      </c>
    </row>
    <row r="87" spans="1:21" x14ac:dyDescent="0.35">
      <c r="A87" s="1">
        <v>86</v>
      </c>
      <c r="B87" s="8">
        <v>185</v>
      </c>
      <c r="C87" s="3" t="e">
        <f t="shared" si="21"/>
        <v>#VALUE!</v>
      </c>
      <c r="D87" s="8" t="e">
        <f t="shared" si="16"/>
        <v>#VALUE!</v>
      </c>
      <c r="E87" s="3" t="e">
        <f t="shared" si="22"/>
        <v>#VALUE!</v>
      </c>
      <c r="F87" s="8" t="e">
        <f t="shared" si="17"/>
        <v>#VALUE!</v>
      </c>
      <c r="G87" s="3" t="e">
        <f t="shared" si="18"/>
        <v>#VALUE!</v>
      </c>
      <c r="H87" s="3">
        <v>843</v>
      </c>
      <c r="I87" s="8" t="e">
        <f t="shared" si="19"/>
        <v>#VALUE!</v>
      </c>
      <c r="J87" s="3">
        <v>228069</v>
      </c>
      <c r="K87" s="3" t="e">
        <f t="shared" si="20"/>
        <v>#VALUE!</v>
      </c>
      <c r="L87" s="8" t="e">
        <f t="shared" si="23"/>
        <v>#VALUE!</v>
      </c>
      <c r="M87" s="8" t="e">
        <f t="shared" si="24"/>
        <v>#VALUE!</v>
      </c>
      <c r="N87" s="3" t="e">
        <f t="shared" si="25"/>
        <v>#VALUE!</v>
      </c>
      <c r="O87" s="3" t="e">
        <f t="shared" si="26"/>
        <v>#VALUE!</v>
      </c>
      <c r="P87" s="3">
        <v>464</v>
      </c>
      <c r="Q87" s="3">
        <v>278267</v>
      </c>
      <c r="R87" s="3">
        <v>4</v>
      </c>
      <c r="T87" t="e">
        <f t="shared" si="28"/>
        <v>#VALUE!</v>
      </c>
      <c r="U87" t="e">
        <f t="shared" si="27"/>
        <v>#VALUE!</v>
      </c>
    </row>
    <row r="88" spans="1:21" x14ac:dyDescent="0.35">
      <c r="A88" s="1">
        <v>87</v>
      </c>
      <c r="B88" s="8">
        <v>26</v>
      </c>
      <c r="C88" s="3" t="e">
        <f t="shared" si="21"/>
        <v>#VALUE!</v>
      </c>
      <c r="D88" s="8" t="e">
        <f t="shared" si="16"/>
        <v>#VALUE!</v>
      </c>
      <c r="E88" s="3" t="e">
        <f t="shared" si="22"/>
        <v>#VALUE!</v>
      </c>
      <c r="F88" s="8" t="e">
        <f t="shared" si="17"/>
        <v>#VALUE!</v>
      </c>
      <c r="G88" s="3" t="e">
        <f t="shared" si="18"/>
        <v>#VALUE!</v>
      </c>
      <c r="H88" s="3">
        <v>144</v>
      </c>
      <c r="I88" s="8" t="e">
        <f t="shared" si="19"/>
        <v>#VALUE!</v>
      </c>
      <c r="J88" s="3">
        <v>254758</v>
      </c>
      <c r="K88" s="3" t="e">
        <f t="shared" si="20"/>
        <v>#VALUE!</v>
      </c>
      <c r="L88" s="8" t="e">
        <f t="shared" si="23"/>
        <v>#VALUE!</v>
      </c>
      <c r="M88" s="8" t="e">
        <f t="shared" si="24"/>
        <v>#VALUE!</v>
      </c>
      <c r="N88" s="3" t="e">
        <f t="shared" si="25"/>
        <v>#VALUE!</v>
      </c>
      <c r="O88" s="3" t="e">
        <f t="shared" si="26"/>
        <v>#VALUE!</v>
      </c>
      <c r="P88" s="3">
        <v>408</v>
      </c>
      <c r="Q88" s="3">
        <v>171978</v>
      </c>
      <c r="R88" s="3">
        <v>4</v>
      </c>
      <c r="T88" t="e">
        <f t="shared" si="28"/>
        <v>#VALUE!</v>
      </c>
      <c r="U88" t="e">
        <f t="shared" si="27"/>
        <v>#VALUE!</v>
      </c>
    </row>
    <row r="89" spans="1:21" x14ac:dyDescent="0.35">
      <c r="A89" s="1">
        <v>88</v>
      </c>
      <c r="B89" s="8">
        <v>23</v>
      </c>
      <c r="C89" s="3" t="e">
        <f t="shared" si="21"/>
        <v>#VALUE!</v>
      </c>
      <c r="D89" s="8" t="e">
        <f t="shared" si="16"/>
        <v>#VALUE!</v>
      </c>
      <c r="E89" s="3" t="e">
        <f t="shared" si="22"/>
        <v>#VALUE!</v>
      </c>
      <c r="F89" s="8" t="e">
        <f t="shared" si="17"/>
        <v>#VALUE!</v>
      </c>
      <c r="G89" s="3" t="e">
        <f t="shared" si="18"/>
        <v>#VALUE!</v>
      </c>
      <c r="H89" s="3">
        <v>336</v>
      </c>
      <c r="I89" s="8" t="e">
        <f t="shared" si="19"/>
        <v>#VALUE!</v>
      </c>
      <c r="J89" s="3">
        <v>122995</v>
      </c>
      <c r="K89" s="3" t="e">
        <f t="shared" si="20"/>
        <v>#VALUE!</v>
      </c>
      <c r="L89" s="8" t="e">
        <f t="shared" si="23"/>
        <v>#VALUE!</v>
      </c>
      <c r="M89" s="8" t="e">
        <f t="shared" si="24"/>
        <v>#VALUE!</v>
      </c>
      <c r="N89" s="3" t="e">
        <f t="shared" si="25"/>
        <v>#VALUE!</v>
      </c>
      <c r="O89" s="3" t="e">
        <f t="shared" si="26"/>
        <v>#VALUE!</v>
      </c>
      <c r="P89" s="3">
        <v>393</v>
      </c>
      <c r="Q89" s="3">
        <v>129369</v>
      </c>
      <c r="R89" s="3">
        <v>4</v>
      </c>
      <c r="T89" t="e">
        <f t="shared" si="28"/>
        <v>#VALUE!</v>
      </c>
      <c r="U89" t="e">
        <f t="shared" si="27"/>
        <v>#VALUE!</v>
      </c>
    </row>
    <row r="90" spans="1:21" x14ac:dyDescent="0.35">
      <c r="A90" s="1">
        <v>89</v>
      </c>
      <c r="B90" s="8">
        <v>44</v>
      </c>
      <c r="C90" s="3" t="e">
        <f t="shared" si="21"/>
        <v>#VALUE!</v>
      </c>
      <c r="D90" s="8" t="e">
        <f t="shared" si="16"/>
        <v>#VALUE!</v>
      </c>
      <c r="E90" s="3" t="e">
        <f t="shared" si="22"/>
        <v>#VALUE!</v>
      </c>
      <c r="F90" s="8" t="e">
        <f t="shared" si="17"/>
        <v>#VALUE!</v>
      </c>
      <c r="G90" s="3" t="e">
        <f t="shared" si="18"/>
        <v>#VALUE!</v>
      </c>
      <c r="H90" s="3">
        <v>445</v>
      </c>
      <c r="I90" s="8" t="e">
        <f t="shared" si="19"/>
        <v>#VALUE!</v>
      </c>
      <c r="J90" s="3">
        <v>200029</v>
      </c>
      <c r="K90" s="3" t="e">
        <f t="shared" si="20"/>
        <v>#VALUE!</v>
      </c>
      <c r="L90" s="8" t="e">
        <f t="shared" si="23"/>
        <v>#VALUE!</v>
      </c>
      <c r="M90" s="8" t="e">
        <f t="shared" si="24"/>
        <v>#VALUE!</v>
      </c>
      <c r="N90" s="3" t="e">
        <f t="shared" si="25"/>
        <v>#VALUE!</v>
      </c>
      <c r="O90" s="3" t="e">
        <f t="shared" si="26"/>
        <v>#VALUE!</v>
      </c>
      <c r="P90" s="3">
        <v>340</v>
      </c>
      <c r="Q90" s="3">
        <v>230925</v>
      </c>
      <c r="R90" s="3">
        <v>3</v>
      </c>
      <c r="T90" t="e">
        <f t="shared" si="28"/>
        <v>#VALUE!</v>
      </c>
      <c r="U90" t="e">
        <f t="shared" si="27"/>
        <v>#VALUE!</v>
      </c>
    </row>
    <row r="91" spans="1:21" x14ac:dyDescent="0.35">
      <c r="A91" s="1">
        <v>90</v>
      </c>
      <c r="B91" s="8">
        <v>207</v>
      </c>
      <c r="C91" s="3" t="e">
        <f t="shared" si="21"/>
        <v>#VALUE!</v>
      </c>
      <c r="D91" s="8" t="e">
        <f t="shared" si="16"/>
        <v>#VALUE!</v>
      </c>
      <c r="E91" s="3" t="e">
        <f t="shared" si="22"/>
        <v>#VALUE!</v>
      </c>
      <c r="F91" s="8" t="e">
        <f t="shared" si="17"/>
        <v>#VALUE!</v>
      </c>
      <c r="G91" s="3" t="e">
        <f t="shared" si="18"/>
        <v>#VALUE!</v>
      </c>
      <c r="H91" s="3">
        <v>657</v>
      </c>
      <c r="I91" s="8" t="e">
        <f t="shared" si="19"/>
        <v>#VALUE!</v>
      </c>
      <c r="J91" s="3">
        <v>192298</v>
      </c>
      <c r="K91" s="3" t="e">
        <f t="shared" si="20"/>
        <v>#VALUE!</v>
      </c>
      <c r="L91" s="8" t="e">
        <f t="shared" si="23"/>
        <v>#VALUE!</v>
      </c>
      <c r="M91" s="8" t="e">
        <f t="shared" si="24"/>
        <v>#VALUE!</v>
      </c>
      <c r="N91" s="3" t="e">
        <f t="shared" si="25"/>
        <v>#VALUE!</v>
      </c>
      <c r="O91" s="3" t="e">
        <f t="shared" si="26"/>
        <v>#VALUE!</v>
      </c>
      <c r="P91" s="3">
        <v>297</v>
      </c>
      <c r="Q91" s="3">
        <v>152845</v>
      </c>
      <c r="R91" s="3">
        <v>5</v>
      </c>
      <c r="T91" t="e">
        <f t="shared" si="28"/>
        <v>#VALUE!</v>
      </c>
      <c r="U91" t="e">
        <f t="shared" si="27"/>
        <v>#VALUE!</v>
      </c>
    </row>
    <row r="92" spans="1:21" x14ac:dyDescent="0.35">
      <c r="A92" s="1">
        <v>91</v>
      </c>
      <c r="B92" s="8">
        <v>109</v>
      </c>
      <c r="C92" s="3" t="e">
        <f t="shared" si="21"/>
        <v>#VALUE!</v>
      </c>
      <c r="D92" s="8" t="e">
        <f t="shared" si="16"/>
        <v>#VALUE!</v>
      </c>
      <c r="E92" s="3" t="e">
        <f t="shared" si="22"/>
        <v>#VALUE!</v>
      </c>
      <c r="F92" s="8" t="e">
        <f t="shared" si="17"/>
        <v>#VALUE!</v>
      </c>
      <c r="G92" s="3" t="e">
        <f t="shared" si="18"/>
        <v>#VALUE!</v>
      </c>
      <c r="H92" s="3">
        <v>313</v>
      </c>
      <c r="I92" s="8" t="e">
        <f t="shared" si="19"/>
        <v>#VALUE!</v>
      </c>
      <c r="J92" s="3">
        <v>302051</v>
      </c>
      <c r="K92" s="3" t="e">
        <f t="shared" si="20"/>
        <v>#VALUE!</v>
      </c>
      <c r="L92" s="8" t="e">
        <f t="shared" si="23"/>
        <v>#VALUE!</v>
      </c>
      <c r="M92" s="8" t="e">
        <f t="shared" si="24"/>
        <v>#VALUE!</v>
      </c>
      <c r="N92" s="3" t="e">
        <f t="shared" si="25"/>
        <v>#VALUE!</v>
      </c>
      <c r="O92" s="3" t="e">
        <f t="shared" si="26"/>
        <v>#VALUE!</v>
      </c>
      <c r="P92" s="3">
        <v>341</v>
      </c>
      <c r="Q92" s="3">
        <v>134750</v>
      </c>
      <c r="R92" s="3">
        <v>4</v>
      </c>
      <c r="T92" t="e">
        <f t="shared" si="28"/>
        <v>#VALUE!</v>
      </c>
      <c r="U92" t="e">
        <f t="shared" si="27"/>
        <v>#VALUE!</v>
      </c>
    </row>
    <row r="93" spans="1:21" x14ac:dyDescent="0.35">
      <c r="A93" s="1">
        <v>92</v>
      </c>
      <c r="B93" s="8">
        <v>275</v>
      </c>
      <c r="C93" s="3" t="e">
        <f t="shared" si="21"/>
        <v>#VALUE!</v>
      </c>
      <c r="D93" s="8" t="e">
        <f t="shared" si="16"/>
        <v>#VALUE!</v>
      </c>
      <c r="E93" s="3" t="e">
        <f t="shared" si="22"/>
        <v>#VALUE!</v>
      </c>
      <c r="F93" s="8" t="e">
        <f t="shared" si="17"/>
        <v>#VALUE!</v>
      </c>
      <c r="G93" s="3" t="e">
        <f t="shared" si="18"/>
        <v>#VALUE!</v>
      </c>
      <c r="H93" s="3">
        <v>820</v>
      </c>
      <c r="I93" s="8" t="e">
        <f t="shared" si="19"/>
        <v>#VALUE!</v>
      </c>
      <c r="J93" s="3">
        <v>323348</v>
      </c>
      <c r="K93" s="3" t="e">
        <f t="shared" si="20"/>
        <v>#VALUE!</v>
      </c>
      <c r="L93" s="8" t="e">
        <f t="shared" si="23"/>
        <v>#VALUE!</v>
      </c>
      <c r="M93" s="8" t="e">
        <f t="shared" si="24"/>
        <v>#VALUE!</v>
      </c>
      <c r="N93" s="3" t="e">
        <f t="shared" si="25"/>
        <v>#VALUE!</v>
      </c>
      <c r="O93" s="3" t="e">
        <f t="shared" si="26"/>
        <v>#VALUE!</v>
      </c>
      <c r="P93" s="3">
        <v>374</v>
      </c>
      <c r="Q93" s="3">
        <v>256285</v>
      </c>
      <c r="R93" s="3">
        <v>3</v>
      </c>
      <c r="T93" t="e">
        <f t="shared" si="28"/>
        <v>#VALUE!</v>
      </c>
      <c r="U93" t="e">
        <f t="shared" si="27"/>
        <v>#VALUE!</v>
      </c>
    </row>
    <row r="94" spans="1:21" x14ac:dyDescent="0.35">
      <c r="A94" s="1">
        <v>93</v>
      </c>
      <c r="B94" s="8">
        <v>276</v>
      </c>
      <c r="C94" s="3" t="e">
        <f t="shared" si="21"/>
        <v>#VALUE!</v>
      </c>
      <c r="D94" s="8" t="e">
        <f t="shared" si="16"/>
        <v>#VALUE!</v>
      </c>
      <c r="E94" s="3" t="e">
        <f t="shared" si="22"/>
        <v>#VALUE!</v>
      </c>
      <c r="F94" s="8" t="e">
        <f t="shared" si="17"/>
        <v>#VALUE!</v>
      </c>
      <c r="G94" s="3" t="e">
        <f t="shared" si="18"/>
        <v>#VALUE!</v>
      </c>
      <c r="H94" s="3">
        <v>756</v>
      </c>
      <c r="I94" s="8" t="e">
        <f t="shared" si="19"/>
        <v>#VALUE!</v>
      </c>
      <c r="J94" s="3">
        <v>82276</v>
      </c>
      <c r="K94" s="3" t="e">
        <f t="shared" si="20"/>
        <v>#VALUE!</v>
      </c>
      <c r="L94" s="8" t="e">
        <f t="shared" si="23"/>
        <v>#VALUE!</v>
      </c>
      <c r="M94" s="8" t="e">
        <f t="shared" si="24"/>
        <v>#VALUE!</v>
      </c>
      <c r="N94" s="3" t="e">
        <f t="shared" si="25"/>
        <v>#VALUE!</v>
      </c>
      <c r="O94" s="3" t="e">
        <f t="shared" si="26"/>
        <v>#VALUE!</v>
      </c>
      <c r="P94" s="3">
        <v>469</v>
      </c>
      <c r="Q94" s="3">
        <v>226987</v>
      </c>
      <c r="R94" s="3">
        <v>3</v>
      </c>
      <c r="T94" t="e">
        <f t="shared" si="28"/>
        <v>#VALUE!</v>
      </c>
      <c r="U94" t="e">
        <f t="shared" si="27"/>
        <v>#VALUE!</v>
      </c>
    </row>
    <row r="95" spans="1:21" x14ac:dyDescent="0.35">
      <c r="A95" s="1">
        <v>94</v>
      </c>
      <c r="B95" s="8">
        <v>195</v>
      </c>
      <c r="C95" s="3" t="e">
        <f t="shared" si="21"/>
        <v>#VALUE!</v>
      </c>
      <c r="D95" s="8" t="e">
        <f t="shared" si="16"/>
        <v>#VALUE!</v>
      </c>
      <c r="E95" s="3" t="e">
        <f t="shared" si="22"/>
        <v>#VALUE!</v>
      </c>
      <c r="F95" s="8" t="e">
        <f t="shared" si="17"/>
        <v>#VALUE!</v>
      </c>
      <c r="G95" s="3" t="e">
        <f t="shared" si="18"/>
        <v>#VALUE!</v>
      </c>
      <c r="H95" s="3">
        <v>823</v>
      </c>
      <c r="I95" s="8" t="e">
        <f t="shared" si="19"/>
        <v>#VALUE!</v>
      </c>
      <c r="J95" s="3">
        <v>262496</v>
      </c>
      <c r="K95" s="3" t="e">
        <f t="shared" si="20"/>
        <v>#VALUE!</v>
      </c>
      <c r="L95" s="8" t="e">
        <f t="shared" si="23"/>
        <v>#VALUE!</v>
      </c>
      <c r="M95" s="8" t="e">
        <f t="shared" si="24"/>
        <v>#VALUE!</v>
      </c>
      <c r="N95" s="3" t="e">
        <f t="shared" si="25"/>
        <v>#VALUE!</v>
      </c>
      <c r="O95" s="3" t="e">
        <f t="shared" si="26"/>
        <v>#VALUE!</v>
      </c>
      <c r="P95" s="3">
        <v>458</v>
      </c>
      <c r="Q95" s="3">
        <v>96207</v>
      </c>
      <c r="R95" s="3">
        <v>2</v>
      </c>
      <c r="T95" t="e">
        <f t="shared" si="28"/>
        <v>#VALUE!</v>
      </c>
      <c r="U95" t="e">
        <f t="shared" si="27"/>
        <v>#VALUE!</v>
      </c>
    </row>
    <row r="96" spans="1:21" x14ac:dyDescent="0.35">
      <c r="A96" s="1">
        <v>95</v>
      </c>
      <c r="B96" s="8">
        <v>168</v>
      </c>
      <c r="C96" s="3" t="e">
        <f t="shared" si="21"/>
        <v>#VALUE!</v>
      </c>
      <c r="D96" s="8" t="e">
        <f t="shared" si="16"/>
        <v>#VALUE!</v>
      </c>
      <c r="E96" s="3" t="e">
        <f t="shared" si="22"/>
        <v>#VALUE!</v>
      </c>
      <c r="F96" s="8" t="e">
        <f t="shared" si="17"/>
        <v>#VALUE!</v>
      </c>
      <c r="G96" s="3" t="e">
        <f t="shared" si="18"/>
        <v>#VALUE!</v>
      </c>
      <c r="H96" s="3">
        <v>686</v>
      </c>
      <c r="I96" s="8" t="e">
        <f t="shared" si="19"/>
        <v>#VALUE!</v>
      </c>
      <c r="J96" s="3">
        <v>196612</v>
      </c>
      <c r="K96" s="3" t="e">
        <f t="shared" si="20"/>
        <v>#VALUE!</v>
      </c>
      <c r="L96" s="8" t="e">
        <f t="shared" si="23"/>
        <v>#VALUE!</v>
      </c>
      <c r="M96" s="8" t="e">
        <f t="shared" si="24"/>
        <v>#VALUE!</v>
      </c>
      <c r="N96" s="3" t="e">
        <f t="shared" si="25"/>
        <v>#VALUE!</v>
      </c>
      <c r="O96" s="3" t="e">
        <f t="shared" si="26"/>
        <v>#VALUE!</v>
      </c>
      <c r="P96" s="3">
        <v>229</v>
      </c>
      <c r="Q96" s="3">
        <v>117061</v>
      </c>
      <c r="R96" s="3">
        <v>4</v>
      </c>
      <c r="T96" t="e">
        <f t="shared" si="28"/>
        <v>#VALUE!</v>
      </c>
      <c r="U96" t="e">
        <f t="shared" si="27"/>
        <v>#VALUE!</v>
      </c>
    </row>
    <row r="97" spans="1:21" x14ac:dyDescent="0.35">
      <c r="A97" s="1">
        <v>96</v>
      </c>
      <c r="B97" s="8">
        <v>200</v>
      </c>
      <c r="C97" s="3" t="e">
        <f t="shared" si="21"/>
        <v>#VALUE!</v>
      </c>
      <c r="D97" s="8" t="e">
        <f t="shared" si="16"/>
        <v>#VALUE!</v>
      </c>
      <c r="E97" s="3" t="e">
        <f t="shared" si="22"/>
        <v>#VALUE!</v>
      </c>
      <c r="F97" s="8" t="e">
        <f t="shared" si="17"/>
        <v>#VALUE!</v>
      </c>
      <c r="G97" s="3" t="e">
        <f t="shared" si="18"/>
        <v>#VALUE!</v>
      </c>
      <c r="H97" s="3">
        <v>894</v>
      </c>
      <c r="I97" s="8" t="e">
        <f t="shared" si="19"/>
        <v>#VALUE!</v>
      </c>
      <c r="J97" s="3">
        <v>149574</v>
      </c>
      <c r="K97" s="3" t="e">
        <f t="shared" si="20"/>
        <v>#VALUE!</v>
      </c>
      <c r="L97" s="8" t="e">
        <f t="shared" si="23"/>
        <v>#VALUE!</v>
      </c>
      <c r="M97" s="8" t="e">
        <f t="shared" si="24"/>
        <v>#VALUE!</v>
      </c>
      <c r="N97" s="3" t="e">
        <f t="shared" si="25"/>
        <v>#VALUE!</v>
      </c>
      <c r="O97" s="3" t="e">
        <f t="shared" si="26"/>
        <v>#VALUE!</v>
      </c>
      <c r="P97" s="3">
        <v>460</v>
      </c>
      <c r="Q97" s="3">
        <v>113667</v>
      </c>
      <c r="R97" s="3">
        <v>4</v>
      </c>
      <c r="T97" t="e">
        <f t="shared" si="28"/>
        <v>#VALUE!</v>
      </c>
      <c r="U97" t="e">
        <f t="shared" si="27"/>
        <v>#VALUE!</v>
      </c>
    </row>
    <row r="98" spans="1:21" x14ac:dyDescent="0.35">
      <c r="A98" s="1">
        <v>97</v>
      </c>
      <c r="B98" s="8">
        <v>52</v>
      </c>
      <c r="C98" s="3" t="e">
        <f t="shared" si="21"/>
        <v>#VALUE!</v>
      </c>
      <c r="D98" s="8" t="e">
        <f t="shared" si="16"/>
        <v>#VALUE!</v>
      </c>
      <c r="E98" s="3" t="e">
        <f t="shared" si="22"/>
        <v>#VALUE!</v>
      </c>
      <c r="F98" s="8" t="e">
        <f t="shared" si="17"/>
        <v>#VALUE!</v>
      </c>
      <c r="G98" s="3" t="e">
        <f t="shared" si="18"/>
        <v>#VALUE!</v>
      </c>
      <c r="H98" s="3">
        <v>222</v>
      </c>
      <c r="I98" s="8" t="e">
        <f t="shared" si="19"/>
        <v>#VALUE!</v>
      </c>
      <c r="J98" s="3">
        <v>160553</v>
      </c>
      <c r="K98" s="3" t="e">
        <f t="shared" si="20"/>
        <v>#VALUE!</v>
      </c>
      <c r="L98" s="8" t="e">
        <f t="shared" si="23"/>
        <v>#VALUE!</v>
      </c>
      <c r="M98" s="8" t="e">
        <f t="shared" si="24"/>
        <v>#VALUE!</v>
      </c>
      <c r="N98" s="3" t="e">
        <f t="shared" si="25"/>
        <v>#VALUE!</v>
      </c>
      <c r="O98" s="3" t="e">
        <f t="shared" si="26"/>
        <v>#VALUE!</v>
      </c>
      <c r="P98" s="3">
        <v>588</v>
      </c>
      <c r="Q98" s="3">
        <v>95933</v>
      </c>
      <c r="R98" s="3">
        <v>3</v>
      </c>
      <c r="T98" t="e">
        <f t="shared" si="28"/>
        <v>#VALUE!</v>
      </c>
      <c r="U98" t="e">
        <f t="shared" si="27"/>
        <v>#VALUE!</v>
      </c>
    </row>
    <row r="99" spans="1:21" x14ac:dyDescent="0.35">
      <c r="A99" s="1">
        <v>98</v>
      </c>
      <c r="B99" s="8">
        <v>189</v>
      </c>
      <c r="C99" s="3" t="e">
        <f t="shared" si="21"/>
        <v>#VALUE!</v>
      </c>
      <c r="D99" s="8" t="e">
        <f t="shared" si="16"/>
        <v>#VALUE!</v>
      </c>
      <c r="E99" s="3" t="e">
        <f t="shared" si="22"/>
        <v>#VALUE!</v>
      </c>
      <c r="F99" s="8" t="e">
        <f t="shared" si="17"/>
        <v>#VALUE!</v>
      </c>
      <c r="G99" s="3" t="e">
        <f t="shared" si="18"/>
        <v>#VALUE!</v>
      </c>
      <c r="H99" s="3">
        <v>782</v>
      </c>
      <c r="I99" s="8" t="e">
        <f t="shared" si="19"/>
        <v>#VALUE!</v>
      </c>
      <c r="J99" s="3">
        <v>294453</v>
      </c>
      <c r="K99" s="3" t="e">
        <f t="shared" si="20"/>
        <v>#VALUE!</v>
      </c>
      <c r="L99" s="8" t="e">
        <f t="shared" si="23"/>
        <v>#VALUE!</v>
      </c>
      <c r="M99" s="8" t="e">
        <f t="shared" si="24"/>
        <v>#VALUE!</v>
      </c>
      <c r="N99" s="3" t="e">
        <f t="shared" si="25"/>
        <v>#VALUE!</v>
      </c>
      <c r="O99" s="3" t="e">
        <f t="shared" si="26"/>
        <v>#VALUE!</v>
      </c>
      <c r="P99" s="3">
        <v>231</v>
      </c>
      <c r="Q99" s="3">
        <v>219059</v>
      </c>
      <c r="R99" s="3">
        <v>4</v>
      </c>
      <c r="T99" t="e">
        <f t="shared" si="28"/>
        <v>#VALUE!</v>
      </c>
      <c r="U99" t="e">
        <f t="shared" si="27"/>
        <v>#VALUE!</v>
      </c>
    </row>
    <row r="100" spans="1:21" x14ac:dyDescent="0.35">
      <c r="A100" s="1">
        <v>99</v>
      </c>
      <c r="B100" s="8">
        <v>9</v>
      </c>
      <c r="C100" s="3" t="e">
        <f t="shared" si="21"/>
        <v>#VALUE!</v>
      </c>
      <c r="D100" s="8" t="e">
        <f t="shared" si="16"/>
        <v>#VALUE!</v>
      </c>
      <c r="E100" s="3" t="e">
        <f t="shared" si="22"/>
        <v>#VALUE!</v>
      </c>
      <c r="F100" s="8" t="e">
        <f t="shared" si="17"/>
        <v>#VALUE!</v>
      </c>
      <c r="G100" s="3" t="e">
        <f t="shared" si="18"/>
        <v>#VALUE!</v>
      </c>
      <c r="H100" s="3">
        <v>119</v>
      </c>
      <c r="I100" s="8" t="e">
        <f t="shared" si="19"/>
        <v>#VALUE!</v>
      </c>
      <c r="J100" s="3">
        <v>162753</v>
      </c>
      <c r="K100" s="3" t="e">
        <f t="shared" si="20"/>
        <v>#VALUE!</v>
      </c>
      <c r="L100" s="8" t="e">
        <f t="shared" si="23"/>
        <v>#VALUE!</v>
      </c>
      <c r="M100" s="8" t="e">
        <f t="shared" si="24"/>
        <v>#VALUE!</v>
      </c>
      <c r="N100" s="3" t="e">
        <f t="shared" si="25"/>
        <v>#VALUE!</v>
      </c>
      <c r="O100" s="3" t="e">
        <f t="shared" si="26"/>
        <v>#VALUE!</v>
      </c>
      <c r="P100" s="3">
        <v>189</v>
      </c>
      <c r="Q100" s="3">
        <v>151213</v>
      </c>
      <c r="R100" s="3">
        <v>3</v>
      </c>
      <c r="T100" t="e">
        <f t="shared" si="28"/>
        <v>#VALUE!</v>
      </c>
      <c r="U100" t="e">
        <f t="shared" si="27"/>
        <v>#VALUE!</v>
      </c>
    </row>
    <row r="101" spans="1:21" x14ac:dyDescent="0.35">
      <c r="A101" s="1">
        <v>100</v>
      </c>
      <c r="B101" s="8">
        <v>202</v>
      </c>
      <c r="C101" s="3" t="e">
        <f t="shared" si="21"/>
        <v>#VALUE!</v>
      </c>
      <c r="D101" s="8" t="e">
        <f t="shared" si="16"/>
        <v>#VALUE!</v>
      </c>
      <c r="E101" s="3" t="e">
        <f t="shared" si="22"/>
        <v>#VALUE!</v>
      </c>
      <c r="F101" s="8" t="e">
        <f t="shared" si="17"/>
        <v>#VALUE!</v>
      </c>
      <c r="G101" s="3" t="e">
        <f t="shared" si="18"/>
        <v>#VALUE!</v>
      </c>
      <c r="H101" s="3">
        <v>633</v>
      </c>
      <c r="I101" s="8" t="e">
        <f t="shared" si="19"/>
        <v>#VALUE!</v>
      </c>
      <c r="J101" s="3">
        <v>226512</v>
      </c>
      <c r="K101" s="3" t="e">
        <f t="shared" si="20"/>
        <v>#VALUE!</v>
      </c>
      <c r="L101" s="8" t="e">
        <f t="shared" si="23"/>
        <v>#VALUE!</v>
      </c>
      <c r="M101" s="8" t="e">
        <f t="shared" si="24"/>
        <v>#VALUE!</v>
      </c>
      <c r="N101" s="3" t="e">
        <f t="shared" si="25"/>
        <v>#VALUE!</v>
      </c>
      <c r="O101" s="3" t="e">
        <f t="shared" si="26"/>
        <v>#VALUE!</v>
      </c>
      <c r="P101" s="3">
        <v>391</v>
      </c>
      <c r="Q101" s="3">
        <v>197210</v>
      </c>
      <c r="R101" s="3">
        <v>3</v>
      </c>
      <c r="T101" t="e">
        <f t="shared" si="28"/>
        <v>#VALUE!</v>
      </c>
      <c r="U101" t="e">
        <f t="shared" si="27"/>
        <v>#VALUE!</v>
      </c>
    </row>
    <row r="102" spans="1:21" x14ac:dyDescent="0.35">
      <c r="A102" s="1">
        <v>101</v>
      </c>
      <c r="B102" s="8">
        <v>221</v>
      </c>
      <c r="C102" s="3" t="e">
        <f t="shared" si="21"/>
        <v>#VALUE!</v>
      </c>
      <c r="D102" s="8" t="e">
        <f t="shared" si="16"/>
        <v>#VALUE!</v>
      </c>
      <c r="E102" s="3" t="e">
        <f t="shared" si="22"/>
        <v>#VALUE!</v>
      </c>
      <c r="F102" s="8" t="e">
        <f t="shared" si="17"/>
        <v>#VALUE!</v>
      </c>
      <c r="G102" s="3" t="e">
        <f t="shared" si="18"/>
        <v>#VALUE!</v>
      </c>
      <c r="H102" s="3">
        <v>486</v>
      </c>
      <c r="I102" s="8" t="e">
        <f t="shared" si="19"/>
        <v>#VALUE!</v>
      </c>
      <c r="J102" s="3">
        <v>125477</v>
      </c>
      <c r="K102" s="3" t="e">
        <f t="shared" si="20"/>
        <v>#VALUE!</v>
      </c>
      <c r="L102" s="8" t="e">
        <f t="shared" si="23"/>
        <v>#VALUE!</v>
      </c>
      <c r="M102" s="8" t="e">
        <f t="shared" si="24"/>
        <v>#VALUE!</v>
      </c>
      <c r="N102" s="3" t="e">
        <f t="shared" si="25"/>
        <v>#VALUE!</v>
      </c>
      <c r="O102" s="3" t="e">
        <f t="shared" si="26"/>
        <v>#VALUE!</v>
      </c>
      <c r="P102" s="3">
        <v>277</v>
      </c>
      <c r="Q102" s="3">
        <v>187871</v>
      </c>
      <c r="R102" s="3">
        <v>3</v>
      </c>
      <c r="T102" t="e">
        <f t="shared" si="28"/>
        <v>#VALUE!</v>
      </c>
      <c r="U102" t="e">
        <f t="shared" si="27"/>
        <v>#VALUE!</v>
      </c>
    </row>
    <row r="103" spans="1:21" x14ac:dyDescent="0.35">
      <c r="A103" s="1">
        <v>102</v>
      </c>
      <c r="B103" s="8">
        <v>98</v>
      </c>
      <c r="C103" s="3" t="e">
        <f t="shared" si="21"/>
        <v>#VALUE!</v>
      </c>
      <c r="D103" s="8" t="e">
        <f t="shared" si="16"/>
        <v>#VALUE!</v>
      </c>
      <c r="E103" s="3" t="e">
        <f t="shared" si="22"/>
        <v>#VALUE!</v>
      </c>
      <c r="F103" s="8" t="e">
        <f t="shared" si="17"/>
        <v>#VALUE!</v>
      </c>
      <c r="G103" s="3" t="e">
        <f t="shared" si="18"/>
        <v>#VALUE!</v>
      </c>
      <c r="H103" s="3">
        <v>231</v>
      </c>
      <c r="I103" s="8" t="e">
        <f t="shared" si="19"/>
        <v>#VALUE!</v>
      </c>
      <c r="J103" s="3">
        <v>219059</v>
      </c>
      <c r="K103" s="3" t="e">
        <f t="shared" si="20"/>
        <v>#VALUE!</v>
      </c>
      <c r="L103" s="8" t="e">
        <f t="shared" si="23"/>
        <v>#VALUE!</v>
      </c>
      <c r="M103" s="8" t="e">
        <f t="shared" si="24"/>
        <v>#VALUE!</v>
      </c>
      <c r="N103" s="3" t="e">
        <f t="shared" si="25"/>
        <v>#VALUE!</v>
      </c>
      <c r="O103" s="3" t="e">
        <f t="shared" si="26"/>
        <v>#VALUE!</v>
      </c>
      <c r="P103" s="3">
        <v>155</v>
      </c>
      <c r="Q103" s="3">
        <v>277114</v>
      </c>
      <c r="R103" s="3">
        <v>3</v>
      </c>
      <c r="T103" t="e">
        <f t="shared" si="28"/>
        <v>#VALUE!</v>
      </c>
      <c r="U103" t="e">
        <f t="shared" si="27"/>
        <v>#VALUE!</v>
      </c>
    </row>
    <row r="104" spans="1:21" x14ac:dyDescent="0.35">
      <c r="A104" s="1">
        <v>103</v>
      </c>
      <c r="B104" s="8">
        <v>179</v>
      </c>
      <c r="C104" s="3" t="e">
        <f t="shared" si="21"/>
        <v>#VALUE!</v>
      </c>
      <c r="D104" s="8" t="e">
        <f t="shared" si="16"/>
        <v>#VALUE!</v>
      </c>
      <c r="E104" s="3" t="e">
        <f t="shared" si="22"/>
        <v>#VALUE!</v>
      </c>
      <c r="F104" s="8" t="e">
        <f t="shared" si="17"/>
        <v>#VALUE!</v>
      </c>
      <c r="G104" s="3" t="e">
        <f t="shared" si="18"/>
        <v>#VALUE!</v>
      </c>
      <c r="H104" s="3">
        <v>751</v>
      </c>
      <c r="I104" s="8" t="e">
        <f t="shared" si="19"/>
        <v>#VALUE!</v>
      </c>
      <c r="J104" s="3">
        <v>172641</v>
      </c>
      <c r="K104" s="3" t="e">
        <f t="shared" si="20"/>
        <v>#VALUE!</v>
      </c>
      <c r="L104" s="8" t="e">
        <f t="shared" si="23"/>
        <v>#VALUE!</v>
      </c>
      <c r="M104" s="8" t="e">
        <f t="shared" si="24"/>
        <v>#VALUE!</v>
      </c>
      <c r="N104" s="3" t="e">
        <f t="shared" si="25"/>
        <v>#VALUE!</v>
      </c>
      <c r="O104" s="3" t="e">
        <f t="shared" si="26"/>
        <v>#VALUE!</v>
      </c>
      <c r="P104" s="3">
        <v>326</v>
      </c>
      <c r="Q104" s="3">
        <v>64617</v>
      </c>
      <c r="R104" s="3">
        <v>3</v>
      </c>
      <c r="T104" t="e">
        <f t="shared" si="28"/>
        <v>#VALUE!</v>
      </c>
      <c r="U104" t="e">
        <f t="shared" si="27"/>
        <v>#VALUE!</v>
      </c>
    </row>
    <row r="105" spans="1:21" x14ac:dyDescent="0.35">
      <c r="A105" s="1">
        <v>104</v>
      </c>
      <c r="B105" s="8">
        <v>227</v>
      </c>
      <c r="C105" s="3" t="e">
        <f t="shared" si="21"/>
        <v>#VALUE!</v>
      </c>
      <c r="D105" s="8" t="e">
        <f t="shared" si="16"/>
        <v>#VALUE!</v>
      </c>
      <c r="E105" s="3" t="e">
        <f t="shared" si="22"/>
        <v>#VALUE!</v>
      </c>
      <c r="F105" s="8" t="e">
        <f t="shared" si="17"/>
        <v>#VALUE!</v>
      </c>
      <c r="G105" s="3" t="e">
        <f t="shared" si="18"/>
        <v>#VALUE!</v>
      </c>
      <c r="H105" s="3">
        <v>786</v>
      </c>
      <c r="I105" s="8" t="e">
        <f t="shared" si="19"/>
        <v>#VALUE!</v>
      </c>
      <c r="J105" s="3">
        <v>196385</v>
      </c>
      <c r="K105" s="3" t="e">
        <f t="shared" si="20"/>
        <v>#VALUE!</v>
      </c>
      <c r="L105" s="8" t="e">
        <f t="shared" si="23"/>
        <v>#VALUE!</v>
      </c>
      <c r="M105" s="8" t="e">
        <f t="shared" si="24"/>
        <v>#VALUE!</v>
      </c>
      <c r="N105" s="3" t="e">
        <f t="shared" si="25"/>
        <v>#VALUE!</v>
      </c>
      <c r="O105" s="3" t="e">
        <f t="shared" si="26"/>
        <v>#VALUE!</v>
      </c>
      <c r="P105" s="3">
        <v>570</v>
      </c>
      <c r="Q105" s="3">
        <v>74812</v>
      </c>
      <c r="R105" s="3">
        <v>4</v>
      </c>
      <c r="T105" t="e">
        <f t="shared" si="28"/>
        <v>#VALUE!</v>
      </c>
      <c r="U105" t="e">
        <f t="shared" si="27"/>
        <v>#VALUE!</v>
      </c>
    </row>
    <row r="106" spans="1:21" x14ac:dyDescent="0.35">
      <c r="A106" s="1">
        <v>105</v>
      </c>
      <c r="B106" s="8">
        <v>92</v>
      </c>
      <c r="C106" s="3" t="e">
        <f t="shared" si="21"/>
        <v>#VALUE!</v>
      </c>
      <c r="D106" s="8" t="e">
        <f t="shared" si="16"/>
        <v>#VALUE!</v>
      </c>
      <c r="E106" s="3" t="e">
        <f t="shared" si="22"/>
        <v>#VALUE!</v>
      </c>
      <c r="F106" s="8" t="e">
        <f t="shared" si="17"/>
        <v>#VALUE!</v>
      </c>
      <c r="G106" s="3" t="e">
        <f t="shared" si="18"/>
        <v>#VALUE!</v>
      </c>
      <c r="H106" s="3">
        <v>374</v>
      </c>
      <c r="I106" s="8" t="e">
        <f t="shared" si="19"/>
        <v>#VALUE!</v>
      </c>
      <c r="J106" s="3">
        <v>256285</v>
      </c>
      <c r="K106" s="3" t="e">
        <f t="shared" si="20"/>
        <v>#VALUE!</v>
      </c>
      <c r="L106" s="8" t="e">
        <f t="shared" si="23"/>
        <v>#VALUE!</v>
      </c>
      <c r="M106" s="8" t="e">
        <f t="shared" si="24"/>
        <v>#VALUE!</v>
      </c>
      <c r="N106" s="3" t="e">
        <f t="shared" si="25"/>
        <v>#VALUE!</v>
      </c>
      <c r="O106" s="3" t="e">
        <f t="shared" si="26"/>
        <v>#VALUE!</v>
      </c>
      <c r="P106" s="3">
        <v>378</v>
      </c>
      <c r="Q106" s="3">
        <v>92827</v>
      </c>
      <c r="R106" s="3">
        <v>4</v>
      </c>
      <c r="T106" t="e">
        <f t="shared" si="28"/>
        <v>#VALUE!</v>
      </c>
      <c r="U106" t="e">
        <f t="shared" si="27"/>
        <v>#VALUE!</v>
      </c>
    </row>
    <row r="107" spans="1:21" x14ac:dyDescent="0.35">
      <c r="A107" s="1">
        <v>106</v>
      </c>
      <c r="B107" s="8">
        <v>16</v>
      </c>
      <c r="C107" s="3" t="e">
        <f t="shared" si="21"/>
        <v>#VALUE!</v>
      </c>
      <c r="D107" s="8" t="e">
        <f t="shared" si="16"/>
        <v>#VALUE!</v>
      </c>
      <c r="E107" s="3" t="e">
        <f t="shared" si="22"/>
        <v>#VALUE!</v>
      </c>
      <c r="F107" s="8" t="e">
        <f t="shared" si="17"/>
        <v>#VALUE!</v>
      </c>
      <c r="G107" s="3" t="e">
        <f t="shared" si="18"/>
        <v>#VALUE!</v>
      </c>
      <c r="H107" s="3">
        <v>312</v>
      </c>
      <c r="I107" s="8" t="e">
        <f t="shared" si="19"/>
        <v>#VALUE!</v>
      </c>
      <c r="J107" s="3">
        <v>153103</v>
      </c>
      <c r="K107" s="3" t="e">
        <f t="shared" si="20"/>
        <v>#VALUE!</v>
      </c>
      <c r="L107" s="8" t="e">
        <f t="shared" si="23"/>
        <v>#VALUE!</v>
      </c>
      <c r="M107" s="8" t="e">
        <f t="shared" si="24"/>
        <v>#VALUE!</v>
      </c>
      <c r="N107" s="3" t="e">
        <f t="shared" si="25"/>
        <v>#VALUE!</v>
      </c>
      <c r="O107" s="3" t="e">
        <f t="shared" si="26"/>
        <v>#VALUE!</v>
      </c>
      <c r="P107" s="3">
        <v>98</v>
      </c>
      <c r="Q107" s="3">
        <v>128713</v>
      </c>
      <c r="R107" s="3">
        <v>4</v>
      </c>
      <c r="T107" t="e">
        <f t="shared" si="28"/>
        <v>#VALUE!</v>
      </c>
      <c r="U107" t="e">
        <f t="shared" si="27"/>
        <v>#VALUE!</v>
      </c>
    </row>
    <row r="108" spans="1:21" x14ac:dyDescent="0.35">
      <c r="A108" s="1">
        <v>107</v>
      </c>
      <c r="B108" s="8">
        <v>86</v>
      </c>
      <c r="C108" s="3" t="e">
        <f t="shared" si="21"/>
        <v>#VALUE!</v>
      </c>
      <c r="D108" s="8" t="e">
        <f t="shared" si="16"/>
        <v>#VALUE!</v>
      </c>
      <c r="E108" s="3" t="e">
        <f t="shared" si="22"/>
        <v>#VALUE!</v>
      </c>
      <c r="F108" s="8" t="e">
        <f t="shared" si="17"/>
        <v>#VALUE!</v>
      </c>
      <c r="G108" s="3" t="e">
        <f t="shared" si="18"/>
        <v>#VALUE!</v>
      </c>
      <c r="H108" s="3">
        <v>464</v>
      </c>
      <c r="I108" s="8" t="e">
        <f t="shared" si="19"/>
        <v>#VALUE!</v>
      </c>
      <c r="J108" s="3">
        <v>278267</v>
      </c>
      <c r="K108" s="3" t="e">
        <f t="shared" si="20"/>
        <v>#VALUE!</v>
      </c>
      <c r="L108" s="8" t="e">
        <f t="shared" si="23"/>
        <v>#VALUE!</v>
      </c>
      <c r="M108" s="8" t="e">
        <f t="shared" si="24"/>
        <v>#VALUE!</v>
      </c>
      <c r="N108" s="3" t="e">
        <f t="shared" si="25"/>
        <v>#VALUE!</v>
      </c>
      <c r="O108" s="3" t="e">
        <f t="shared" si="26"/>
        <v>#VALUE!</v>
      </c>
      <c r="P108" s="3">
        <v>223</v>
      </c>
      <c r="Q108" s="3">
        <v>97092</v>
      </c>
      <c r="R108" s="3">
        <v>3</v>
      </c>
      <c r="T108" t="e">
        <f t="shared" si="28"/>
        <v>#VALUE!</v>
      </c>
      <c r="U108" t="e">
        <f t="shared" si="27"/>
        <v>#VALUE!</v>
      </c>
    </row>
    <row r="109" spans="1:21" x14ac:dyDescent="0.35">
      <c r="A109" s="1">
        <v>108</v>
      </c>
      <c r="B109" s="8">
        <v>38</v>
      </c>
      <c r="C109" s="3" t="e">
        <f t="shared" si="21"/>
        <v>#VALUE!</v>
      </c>
      <c r="D109" s="8" t="e">
        <f t="shared" si="16"/>
        <v>#VALUE!</v>
      </c>
      <c r="E109" s="3" t="e">
        <f t="shared" si="22"/>
        <v>#VALUE!</v>
      </c>
      <c r="F109" s="8" t="e">
        <f t="shared" si="17"/>
        <v>#VALUE!</v>
      </c>
      <c r="G109" s="3" t="e">
        <f t="shared" si="18"/>
        <v>#VALUE!</v>
      </c>
      <c r="H109" s="3">
        <v>132</v>
      </c>
      <c r="I109" s="8" t="e">
        <f t="shared" si="19"/>
        <v>#VALUE!</v>
      </c>
      <c r="J109" s="3">
        <v>92402</v>
      </c>
      <c r="K109" s="3" t="e">
        <f t="shared" si="20"/>
        <v>#VALUE!</v>
      </c>
      <c r="L109" s="8" t="e">
        <f t="shared" si="23"/>
        <v>#VALUE!</v>
      </c>
      <c r="M109" s="8" t="e">
        <f t="shared" si="24"/>
        <v>#VALUE!</v>
      </c>
      <c r="N109" s="3" t="e">
        <f t="shared" si="25"/>
        <v>#VALUE!</v>
      </c>
      <c r="O109" s="3" t="e">
        <f t="shared" si="26"/>
        <v>#VALUE!</v>
      </c>
      <c r="P109" s="3">
        <v>222</v>
      </c>
      <c r="Q109" s="3">
        <v>234677</v>
      </c>
      <c r="R109" s="3">
        <v>4</v>
      </c>
      <c r="T109" t="e">
        <f t="shared" si="28"/>
        <v>#VALUE!</v>
      </c>
      <c r="U109" t="e">
        <f t="shared" si="27"/>
        <v>#VALUE!</v>
      </c>
    </row>
    <row r="110" spans="1:21" x14ac:dyDescent="0.35">
      <c r="A110" s="1">
        <v>109</v>
      </c>
      <c r="B110" s="8">
        <v>79</v>
      </c>
      <c r="C110" s="3" t="e">
        <f t="shared" si="21"/>
        <v>#VALUE!</v>
      </c>
      <c r="D110" s="8" t="e">
        <f t="shared" si="16"/>
        <v>#VALUE!</v>
      </c>
      <c r="E110" s="3" t="e">
        <f t="shared" si="22"/>
        <v>#VALUE!</v>
      </c>
      <c r="F110" s="8" t="e">
        <f t="shared" si="17"/>
        <v>#VALUE!</v>
      </c>
      <c r="G110" s="3" t="e">
        <f t="shared" si="18"/>
        <v>#VALUE!</v>
      </c>
      <c r="H110" s="3">
        <v>68</v>
      </c>
      <c r="I110" s="8" t="e">
        <f t="shared" si="19"/>
        <v>#VALUE!</v>
      </c>
      <c r="J110" s="3">
        <v>202724</v>
      </c>
      <c r="K110" s="3" t="e">
        <f t="shared" si="20"/>
        <v>#VALUE!</v>
      </c>
      <c r="L110" s="8" t="e">
        <f t="shared" si="23"/>
        <v>#VALUE!</v>
      </c>
      <c r="M110" s="8" t="e">
        <f t="shared" si="24"/>
        <v>#VALUE!</v>
      </c>
      <c r="N110" s="3" t="e">
        <f t="shared" si="25"/>
        <v>#VALUE!</v>
      </c>
      <c r="O110" s="3" t="e">
        <f t="shared" si="26"/>
        <v>#VALUE!</v>
      </c>
      <c r="P110" s="3">
        <v>313</v>
      </c>
      <c r="Q110" s="3">
        <v>302051</v>
      </c>
      <c r="R110" s="3">
        <v>3</v>
      </c>
      <c r="T110" t="e">
        <f t="shared" si="28"/>
        <v>#VALUE!</v>
      </c>
      <c r="U110" t="e">
        <f t="shared" si="27"/>
        <v>#VALUE!</v>
      </c>
    </row>
    <row r="111" spans="1:21" x14ac:dyDescent="0.35">
      <c r="A111" s="1">
        <v>110</v>
      </c>
      <c r="B111" s="8">
        <v>18</v>
      </c>
      <c r="C111" s="3" t="e">
        <f t="shared" si="21"/>
        <v>#VALUE!</v>
      </c>
      <c r="D111" s="8" t="e">
        <f t="shared" si="16"/>
        <v>#VALUE!</v>
      </c>
      <c r="E111" s="3" t="e">
        <f t="shared" si="22"/>
        <v>#VALUE!</v>
      </c>
      <c r="F111" s="8" t="e">
        <f t="shared" si="17"/>
        <v>#VALUE!</v>
      </c>
      <c r="G111" s="3" t="e">
        <f t="shared" si="18"/>
        <v>#VALUE!</v>
      </c>
      <c r="H111" s="3">
        <v>167</v>
      </c>
      <c r="I111" s="8" t="e">
        <f t="shared" si="19"/>
        <v>#VALUE!</v>
      </c>
      <c r="J111" s="3">
        <v>338623</v>
      </c>
      <c r="K111" s="3" t="e">
        <f t="shared" si="20"/>
        <v>#VALUE!</v>
      </c>
      <c r="L111" s="8" t="e">
        <f t="shared" si="23"/>
        <v>#VALUE!</v>
      </c>
      <c r="M111" s="8" t="e">
        <f t="shared" si="24"/>
        <v>#VALUE!</v>
      </c>
      <c r="N111" s="3" t="e">
        <f t="shared" si="25"/>
        <v>#VALUE!</v>
      </c>
      <c r="O111" s="3" t="e">
        <f t="shared" si="26"/>
        <v>#VALUE!</v>
      </c>
      <c r="P111" s="3">
        <v>489</v>
      </c>
      <c r="Q111" s="3">
        <v>265041</v>
      </c>
      <c r="R111" s="3">
        <v>4</v>
      </c>
      <c r="T111" t="e">
        <f t="shared" si="28"/>
        <v>#VALUE!</v>
      </c>
      <c r="U111" t="e">
        <f t="shared" si="27"/>
        <v>#VALUE!</v>
      </c>
    </row>
    <row r="112" spans="1:21" x14ac:dyDescent="0.35">
      <c r="A112" s="1">
        <v>111</v>
      </c>
      <c r="B112" s="8">
        <v>67</v>
      </c>
      <c r="C112" s="3" t="e">
        <f t="shared" si="21"/>
        <v>#VALUE!</v>
      </c>
      <c r="D112" s="8" t="e">
        <f t="shared" si="16"/>
        <v>#VALUE!</v>
      </c>
      <c r="E112" s="3" t="e">
        <f t="shared" si="22"/>
        <v>#VALUE!</v>
      </c>
      <c r="F112" s="8" t="e">
        <f t="shared" si="17"/>
        <v>#VALUE!</v>
      </c>
      <c r="G112" s="3" t="e">
        <f t="shared" si="18"/>
        <v>#VALUE!</v>
      </c>
      <c r="H112" s="3">
        <v>281</v>
      </c>
      <c r="I112" s="8" t="e">
        <f t="shared" si="19"/>
        <v>#VALUE!</v>
      </c>
      <c r="J112" s="3">
        <v>251768</v>
      </c>
      <c r="K112" s="3" t="e">
        <f t="shared" si="20"/>
        <v>#VALUE!</v>
      </c>
      <c r="L112" s="8" t="e">
        <f t="shared" si="23"/>
        <v>#VALUE!</v>
      </c>
      <c r="M112" s="8" t="e">
        <f t="shared" si="24"/>
        <v>#VALUE!</v>
      </c>
      <c r="N112" s="3" t="e">
        <f t="shared" si="25"/>
        <v>#VALUE!</v>
      </c>
      <c r="O112" s="3" t="e">
        <f t="shared" si="26"/>
        <v>#VALUE!</v>
      </c>
      <c r="P112" s="3">
        <v>219</v>
      </c>
      <c r="Q112" s="3">
        <v>177002</v>
      </c>
      <c r="R112" s="3">
        <v>4</v>
      </c>
      <c r="T112" t="e">
        <f t="shared" si="28"/>
        <v>#VALUE!</v>
      </c>
      <c r="U112" t="e">
        <f t="shared" si="27"/>
        <v>#VALUE!</v>
      </c>
    </row>
    <row r="113" spans="1:21" x14ac:dyDescent="0.35">
      <c r="A113" s="1">
        <v>112</v>
      </c>
      <c r="B113" s="8">
        <v>78</v>
      </c>
      <c r="C113" s="3" t="e">
        <f t="shared" si="21"/>
        <v>#VALUE!</v>
      </c>
      <c r="D113" s="8" t="e">
        <f t="shared" si="16"/>
        <v>#VALUE!</v>
      </c>
      <c r="E113" s="3" t="e">
        <f t="shared" si="22"/>
        <v>#VALUE!</v>
      </c>
      <c r="F113" s="8" t="e">
        <f t="shared" si="17"/>
        <v>#VALUE!</v>
      </c>
      <c r="G113" s="3" t="e">
        <f t="shared" si="18"/>
        <v>#VALUE!</v>
      </c>
      <c r="H113" s="3">
        <v>228</v>
      </c>
      <c r="I113" s="8" t="e">
        <f t="shared" si="19"/>
        <v>#VALUE!</v>
      </c>
      <c r="J113" s="3">
        <v>140104</v>
      </c>
      <c r="K113" s="3" t="e">
        <f t="shared" si="20"/>
        <v>#VALUE!</v>
      </c>
      <c r="L113" s="8" t="e">
        <f t="shared" si="23"/>
        <v>#VALUE!</v>
      </c>
      <c r="M113" s="8" t="e">
        <f t="shared" si="24"/>
        <v>#VALUE!</v>
      </c>
      <c r="N113" s="3" t="e">
        <f t="shared" si="25"/>
        <v>#VALUE!</v>
      </c>
      <c r="O113" s="3" t="e">
        <f t="shared" si="26"/>
        <v>#VALUE!</v>
      </c>
      <c r="P113" s="3">
        <v>470</v>
      </c>
      <c r="Q113" s="3">
        <v>138011</v>
      </c>
      <c r="R113" s="3">
        <v>4</v>
      </c>
      <c r="T113" t="e">
        <f t="shared" si="28"/>
        <v>#VALUE!</v>
      </c>
      <c r="U113" t="e">
        <f t="shared" si="27"/>
        <v>#VALUE!</v>
      </c>
    </row>
    <row r="114" spans="1:21" x14ac:dyDescent="0.35">
      <c r="A114" s="1">
        <v>113</v>
      </c>
      <c r="B114" s="8">
        <v>130</v>
      </c>
      <c r="C114" s="3" t="e">
        <f t="shared" si="21"/>
        <v>#VALUE!</v>
      </c>
      <c r="D114" s="8" t="e">
        <f t="shared" si="16"/>
        <v>#VALUE!</v>
      </c>
      <c r="E114" s="3" t="e">
        <f t="shared" si="22"/>
        <v>#VALUE!</v>
      </c>
      <c r="F114" s="8" t="e">
        <f t="shared" si="17"/>
        <v>#VALUE!</v>
      </c>
      <c r="G114" s="3" t="e">
        <f t="shared" si="18"/>
        <v>#VALUE!</v>
      </c>
      <c r="H114" s="3">
        <v>336</v>
      </c>
      <c r="I114" s="8" t="e">
        <f t="shared" si="19"/>
        <v>#VALUE!</v>
      </c>
      <c r="J114" s="3">
        <v>148600</v>
      </c>
      <c r="K114" s="3" t="e">
        <f t="shared" si="20"/>
        <v>#VALUE!</v>
      </c>
      <c r="L114" s="8" t="e">
        <f t="shared" si="23"/>
        <v>#VALUE!</v>
      </c>
      <c r="M114" s="8" t="e">
        <f t="shared" si="24"/>
        <v>#VALUE!</v>
      </c>
      <c r="N114" s="3" t="e">
        <f t="shared" si="25"/>
        <v>#VALUE!</v>
      </c>
      <c r="O114" s="3" t="e">
        <f t="shared" si="26"/>
        <v>#VALUE!</v>
      </c>
      <c r="P114" s="3">
        <v>449</v>
      </c>
      <c r="Q114" s="3">
        <v>211060</v>
      </c>
      <c r="R114" s="3">
        <v>4</v>
      </c>
      <c r="T114" t="e">
        <f t="shared" si="28"/>
        <v>#VALUE!</v>
      </c>
      <c r="U114" t="e">
        <f t="shared" si="27"/>
        <v>#VALUE!</v>
      </c>
    </row>
    <row r="115" spans="1:21" x14ac:dyDescent="0.35">
      <c r="A115" s="1">
        <v>114</v>
      </c>
      <c r="B115" s="8">
        <v>22</v>
      </c>
      <c r="C115" s="3" t="e">
        <f t="shared" si="21"/>
        <v>#VALUE!</v>
      </c>
      <c r="D115" s="8" t="e">
        <f t="shared" si="16"/>
        <v>#VALUE!</v>
      </c>
      <c r="E115" s="3" t="e">
        <f t="shared" si="22"/>
        <v>#VALUE!</v>
      </c>
      <c r="F115" s="8" t="e">
        <f t="shared" si="17"/>
        <v>#VALUE!</v>
      </c>
      <c r="G115" s="3" t="e">
        <f t="shared" si="18"/>
        <v>#VALUE!</v>
      </c>
      <c r="H115" s="3">
        <v>213</v>
      </c>
      <c r="I115" s="8" t="e">
        <f t="shared" si="19"/>
        <v>#VALUE!</v>
      </c>
      <c r="J115" s="3">
        <v>215669</v>
      </c>
      <c r="K115" s="3" t="e">
        <f t="shared" si="20"/>
        <v>#VALUE!</v>
      </c>
      <c r="L115" s="8" t="e">
        <f t="shared" si="23"/>
        <v>#VALUE!</v>
      </c>
      <c r="M115" s="8" t="e">
        <f t="shared" si="24"/>
        <v>#VALUE!</v>
      </c>
      <c r="N115" s="3" t="e">
        <f t="shared" si="25"/>
        <v>#VALUE!</v>
      </c>
      <c r="O115" s="3" t="e">
        <f t="shared" si="26"/>
        <v>#VALUE!</v>
      </c>
      <c r="P115" s="3">
        <v>205</v>
      </c>
      <c r="Q115" s="3">
        <v>91884</v>
      </c>
      <c r="R115" s="3">
        <v>4</v>
      </c>
      <c r="T115" t="e">
        <f t="shared" si="28"/>
        <v>#VALUE!</v>
      </c>
      <c r="U115" t="e">
        <f t="shared" si="27"/>
        <v>#VALUE!</v>
      </c>
    </row>
    <row r="116" spans="1:21" x14ac:dyDescent="0.35">
      <c r="A116" s="1">
        <v>115</v>
      </c>
      <c r="B116" s="8">
        <v>115</v>
      </c>
      <c r="C116" s="3" t="e">
        <f t="shared" si="21"/>
        <v>#VALUE!</v>
      </c>
      <c r="D116" s="8" t="e">
        <f t="shared" si="16"/>
        <v>#VALUE!</v>
      </c>
      <c r="E116" s="3" t="e">
        <f t="shared" si="22"/>
        <v>#VALUE!</v>
      </c>
      <c r="F116" s="8" t="e">
        <f t="shared" si="17"/>
        <v>#VALUE!</v>
      </c>
      <c r="G116" s="3" t="e">
        <f t="shared" si="18"/>
        <v>#VALUE!</v>
      </c>
      <c r="H116" s="3">
        <v>257</v>
      </c>
      <c r="I116" s="8" t="e">
        <f t="shared" si="19"/>
        <v>#VALUE!</v>
      </c>
      <c r="J116" s="3">
        <v>235528</v>
      </c>
      <c r="K116" s="3" t="e">
        <f t="shared" si="20"/>
        <v>#VALUE!</v>
      </c>
      <c r="L116" s="8" t="e">
        <f t="shared" si="23"/>
        <v>#VALUE!</v>
      </c>
      <c r="M116" s="8" t="e">
        <f t="shared" si="24"/>
        <v>#VALUE!</v>
      </c>
      <c r="N116" s="3" t="e">
        <f t="shared" si="25"/>
        <v>#VALUE!</v>
      </c>
      <c r="O116" s="3" t="e">
        <f t="shared" si="26"/>
        <v>#VALUE!</v>
      </c>
      <c r="P116" s="3">
        <v>257</v>
      </c>
      <c r="Q116" s="3">
        <v>235528</v>
      </c>
      <c r="R116" s="3">
        <v>3</v>
      </c>
      <c r="T116" t="e">
        <f t="shared" si="28"/>
        <v>#VALUE!</v>
      </c>
      <c r="U116" t="e">
        <f t="shared" si="27"/>
        <v>#VALUE!</v>
      </c>
    </row>
    <row r="117" spans="1:21" x14ac:dyDescent="0.35">
      <c r="A117" s="1">
        <v>116</v>
      </c>
      <c r="B117" s="8">
        <v>178</v>
      </c>
      <c r="C117" s="3" t="e">
        <f t="shared" si="21"/>
        <v>#VALUE!</v>
      </c>
      <c r="D117" s="8" t="e">
        <f t="shared" si="16"/>
        <v>#VALUE!</v>
      </c>
      <c r="E117" s="3" t="e">
        <f t="shared" si="22"/>
        <v>#VALUE!</v>
      </c>
      <c r="F117" s="8" t="e">
        <f t="shared" si="17"/>
        <v>#VALUE!</v>
      </c>
      <c r="G117" s="3" t="e">
        <f t="shared" si="18"/>
        <v>#VALUE!</v>
      </c>
      <c r="H117" s="3">
        <v>667</v>
      </c>
      <c r="I117" s="8" t="e">
        <f t="shared" si="19"/>
        <v>#VALUE!</v>
      </c>
      <c r="J117" s="3">
        <v>114775</v>
      </c>
      <c r="K117" s="3" t="e">
        <f t="shared" si="20"/>
        <v>#VALUE!</v>
      </c>
      <c r="L117" s="8" t="e">
        <f t="shared" si="23"/>
        <v>#VALUE!</v>
      </c>
      <c r="M117" s="8" t="e">
        <f t="shared" si="24"/>
        <v>#VALUE!</v>
      </c>
      <c r="N117" s="3" t="e">
        <f t="shared" si="25"/>
        <v>#VALUE!</v>
      </c>
      <c r="O117" s="3" t="e">
        <f t="shared" si="26"/>
        <v>#VALUE!</v>
      </c>
      <c r="P117" s="3">
        <v>236</v>
      </c>
      <c r="Q117" s="3">
        <v>257201</v>
      </c>
      <c r="R117" s="3">
        <v>3</v>
      </c>
      <c r="T117" t="e">
        <f t="shared" si="28"/>
        <v>#VALUE!</v>
      </c>
      <c r="U117" t="e">
        <f t="shared" si="27"/>
        <v>#VALUE!</v>
      </c>
    </row>
    <row r="118" spans="1:21" x14ac:dyDescent="0.35">
      <c r="A118" s="1">
        <v>117</v>
      </c>
      <c r="B118" s="8">
        <v>51</v>
      </c>
      <c r="C118" s="3" t="e">
        <f t="shared" si="21"/>
        <v>#VALUE!</v>
      </c>
      <c r="D118" s="8" t="e">
        <f t="shared" si="16"/>
        <v>#VALUE!</v>
      </c>
      <c r="E118" s="3" t="e">
        <f t="shared" si="22"/>
        <v>#VALUE!</v>
      </c>
      <c r="F118" s="8" t="e">
        <f t="shared" si="17"/>
        <v>#VALUE!</v>
      </c>
      <c r="G118" s="3" t="e">
        <f t="shared" si="18"/>
        <v>#VALUE!</v>
      </c>
      <c r="H118" s="3">
        <v>343</v>
      </c>
      <c r="I118" s="8" t="e">
        <f t="shared" si="19"/>
        <v>#VALUE!</v>
      </c>
      <c r="J118" s="3">
        <v>236552</v>
      </c>
      <c r="K118" s="3" t="e">
        <f t="shared" si="20"/>
        <v>#VALUE!</v>
      </c>
      <c r="L118" s="8" t="e">
        <f t="shared" si="23"/>
        <v>#VALUE!</v>
      </c>
      <c r="M118" s="8" t="e">
        <f t="shared" si="24"/>
        <v>#VALUE!</v>
      </c>
      <c r="N118" s="3" t="e">
        <f t="shared" si="25"/>
        <v>#VALUE!</v>
      </c>
      <c r="O118" s="3" t="e">
        <f t="shared" si="26"/>
        <v>#VALUE!</v>
      </c>
      <c r="P118" s="3">
        <v>244</v>
      </c>
      <c r="Q118" s="3">
        <v>227585</v>
      </c>
      <c r="R118" s="3">
        <v>3</v>
      </c>
      <c r="T118" t="e">
        <f t="shared" si="28"/>
        <v>#VALUE!</v>
      </c>
      <c r="U118" t="e">
        <f t="shared" si="27"/>
        <v>#VALUE!</v>
      </c>
    </row>
    <row r="119" spans="1:21" x14ac:dyDescent="0.35">
      <c r="A119" s="1">
        <v>118</v>
      </c>
      <c r="B119" s="8">
        <v>208</v>
      </c>
      <c r="C119" s="3" t="e">
        <f t="shared" si="21"/>
        <v>#VALUE!</v>
      </c>
      <c r="D119" s="8" t="e">
        <f t="shared" si="16"/>
        <v>#VALUE!</v>
      </c>
      <c r="E119" s="3" t="e">
        <f t="shared" si="22"/>
        <v>#VALUE!</v>
      </c>
      <c r="F119" s="8" t="e">
        <f t="shared" si="17"/>
        <v>#VALUE!</v>
      </c>
      <c r="G119" s="3" t="e">
        <f t="shared" si="18"/>
        <v>#VALUE!</v>
      </c>
      <c r="H119" s="3">
        <v>802</v>
      </c>
      <c r="I119" s="8" t="e">
        <f t="shared" si="19"/>
        <v>#VALUE!</v>
      </c>
      <c r="J119" s="3">
        <v>260339</v>
      </c>
      <c r="K119" s="3" t="e">
        <f t="shared" si="20"/>
        <v>#VALUE!</v>
      </c>
      <c r="L119" s="8" t="e">
        <f t="shared" si="23"/>
        <v>#VALUE!</v>
      </c>
      <c r="M119" s="8" t="e">
        <f t="shared" si="24"/>
        <v>#VALUE!</v>
      </c>
      <c r="N119" s="3" t="e">
        <f t="shared" si="25"/>
        <v>#VALUE!</v>
      </c>
      <c r="O119" s="3" t="e">
        <f t="shared" si="26"/>
        <v>#VALUE!</v>
      </c>
      <c r="P119" s="3">
        <v>228</v>
      </c>
      <c r="Q119" s="3">
        <v>182092</v>
      </c>
      <c r="R119" s="3">
        <v>3</v>
      </c>
      <c r="T119" t="e">
        <f t="shared" si="28"/>
        <v>#VALUE!</v>
      </c>
      <c r="U119" t="e">
        <f t="shared" si="27"/>
        <v>#VALUE!</v>
      </c>
    </row>
    <row r="120" spans="1:21" x14ac:dyDescent="0.35">
      <c r="A120" s="1">
        <v>119</v>
      </c>
      <c r="B120" s="8">
        <v>87</v>
      </c>
      <c r="C120" s="3" t="e">
        <f t="shared" si="21"/>
        <v>#VALUE!</v>
      </c>
      <c r="D120" s="8" t="e">
        <f t="shared" si="16"/>
        <v>#VALUE!</v>
      </c>
      <c r="E120" s="3" t="e">
        <f t="shared" si="22"/>
        <v>#VALUE!</v>
      </c>
      <c r="F120" s="8" t="e">
        <f t="shared" si="17"/>
        <v>#VALUE!</v>
      </c>
      <c r="G120" s="3" t="e">
        <f t="shared" si="18"/>
        <v>#VALUE!</v>
      </c>
      <c r="H120" s="3">
        <v>408</v>
      </c>
      <c r="I120" s="8" t="e">
        <f t="shared" si="19"/>
        <v>#VALUE!</v>
      </c>
      <c r="J120" s="3">
        <v>171978</v>
      </c>
      <c r="K120" s="3" t="e">
        <f t="shared" si="20"/>
        <v>#VALUE!</v>
      </c>
      <c r="L120" s="8" t="e">
        <f t="shared" si="23"/>
        <v>#VALUE!</v>
      </c>
      <c r="M120" s="8" t="e">
        <f t="shared" si="24"/>
        <v>#VALUE!</v>
      </c>
      <c r="N120" s="3" t="e">
        <f t="shared" si="25"/>
        <v>#VALUE!</v>
      </c>
      <c r="O120" s="3" t="e">
        <f t="shared" si="26"/>
        <v>#VALUE!</v>
      </c>
      <c r="P120" s="3">
        <v>749</v>
      </c>
      <c r="Q120" s="3">
        <v>320140</v>
      </c>
      <c r="R120" s="3">
        <v>3</v>
      </c>
      <c r="T120" t="e">
        <f t="shared" si="28"/>
        <v>#VALUE!</v>
      </c>
      <c r="U120" t="e">
        <f t="shared" si="27"/>
        <v>#VALUE!</v>
      </c>
    </row>
    <row r="121" spans="1:21" x14ac:dyDescent="0.35">
      <c r="A121" s="1">
        <v>120</v>
      </c>
      <c r="B121" s="8">
        <v>143</v>
      </c>
      <c r="C121" s="3" t="e">
        <f t="shared" si="21"/>
        <v>#VALUE!</v>
      </c>
      <c r="D121" s="8" t="e">
        <f t="shared" si="16"/>
        <v>#VALUE!</v>
      </c>
      <c r="E121" s="3" t="e">
        <f t="shared" si="22"/>
        <v>#VALUE!</v>
      </c>
      <c r="F121" s="8" t="e">
        <f t="shared" si="17"/>
        <v>#VALUE!</v>
      </c>
      <c r="G121" s="3" t="e">
        <f t="shared" si="18"/>
        <v>#VALUE!</v>
      </c>
      <c r="H121" s="3">
        <v>647</v>
      </c>
      <c r="I121" s="8" t="e">
        <f t="shared" si="19"/>
        <v>#VALUE!</v>
      </c>
      <c r="J121" s="3">
        <v>176262</v>
      </c>
      <c r="K121" s="3" t="e">
        <f t="shared" si="20"/>
        <v>#VALUE!</v>
      </c>
      <c r="L121" s="8" t="e">
        <f t="shared" si="23"/>
        <v>#VALUE!</v>
      </c>
      <c r="M121" s="8" t="e">
        <f t="shared" si="24"/>
        <v>#VALUE!</v>
      </c>
      <c r="N121" s="3" t="e">
        <f t="shared" si="25"/>
        <v>#VALUE!</v>
      </c>
      <c r="O121" s="3" t="e">
        <f t="shared" si="26"/>
        <v>#VALUE!</v>
      </c>
      <c r="P121" s="3">
        <v>193</v>
      </c>
      <c r="Q121" s="3">
        <v>162753</v>
      </c>
      <c r="R121" s="3">
        <v>3</v>
      </c>
      <c r="T121" t="e">
        <f t="shared" si="28"/>
        <v>#VALUE!</v>
      </c>
      <c r="U121" t="e">
        <f t="shared" si="27"/>
        <v>#VALUE!</v>
      </c>
    </row>
    <row r="122" spans="1:21" x14ac:dyDescent="0.35">
      <c r="A122" s="1">
        <v>121</v>
      </c>
      <c r="B122" s="8">
        <v>90</v>
      </c>
      <c r="C122" s="3" t="e">
        <f t="shared" si="21"/>
        <v>#VALUE!</v>
      </c>
      <c r="D122" s="8" t="e">
        <f t="shared" si="16"/>
        <v>#VALUE!</v>
      </c>
      <c r="E122" s="3" t="e">
        <f t="shared" si="22"/>
        <v>#VALUE!</v>
      </c>
      <c r="F122" s="8" t="e">
        <f t="shared" si="17"/>
        <v>#VALUE!</v>
      </c>
      <c r="G122" s="3" t="e">
        <f t="shared" si="18"/>
        <v>#VALUE!</v>
      </c>
      <c r="H122" s="3">
        <v>297</v>
      </c>
      <c r="I122" s="8" t="e">
        <f t="shared" si="19"/>
        <v>#VALUE!</v>
      </c>
      <c r="J122" s="3">
        <v>152845</v>
      </c>
      <c r="K122" s="3" t="e">
        <f t="shared" si="20"/>
        <v>#VALUE!</v>
      </c>
      <c r="L122" s="8" t="e">
        <f t="shared" si="23"/>
        <v>#VALUE!</v>
      </c>
      <c r="M122" s="8" t="e">
        <f t="shared" si="24"/>
        <v>#VALUE!</v>
      </c>
      <c r="N122" s="3" t="e">
        <f t="shared" si="25"/>
        <v>#VALUE!</v>
      </c>
      <c r="O122" s="3" t="e">
        <f t="shared" si="26"/>
        <v>#VALUE!</v>
      </c>
      <c r="P122" s="3">
        <v>321</v>
      </c>
      <c r="Q122" s="3">
        <v>138915</v>
      </c>
      <c r="R122" s="3">
        <v>3</v>
      </c>
      <c r="T122" t="e">
        <f t="shared" si="28"/>
        <v>#VALUE!</v>
      </c>
      <c r="U122" t="e">
        <f t="shared" si="27"/>
        <v>#VALUE!</v>
      </c>
    </row>
    <row r="123" spans="1:21" x14ac:dyDescent="0.35">
      <c r="A123" s="1">
        <v>122</v>
      </c>
      <c r="B123" s="8">
        <v>258</v>
      </c>
      <c r="C123" s="3" t="e">
        <f t="shared" si="21"/>
        <v>#VALUE!</v>
      </c>
      <c r="D123" s="8" t="e">
        <f t="shared" si="16"/>
        <v>#VALUE!</v>
      </c>
      <c r="E123" s="3" t="e">
        <f t="shared" si="22"/>
        <v>#VALUE!</v>
      </c>
      <c r="F123" s="8" t="e">
        <f t="shared" si="17"/>
        <v>#VALUE!</v>
      </c>
      <c r="G123" s="3" t="e">
        <f t="shared" si="18"/>
        <v>#VALUE!</v>
      </c>
      <c r="H123" s="3">
        <v>677</v>
      </c>
      <c r="I123" s="8" t="e">
        <f t="shared" si="19"/>
        <v>#VALUE!</v>
      </c>
      <c r="J123" s="3">
        <v>153954</v>
      </c>
      <c r="K123" s="3" t="e">
        <f t="shared" si="20"/>
        <v>#VALUE!</v>
      </c>
      <c r="L123" s="8" t="e">
        <f t="shared" si="23"/>
        <v>#VALUE!</v>
      </c>
      <c r="M123" s="8" t="e">
        <f t="shared" si="24"/>
        <v>#VALUE!</v>
      </c>
      <c r="N123" s="3" t="e">
        <f t="shared" si="25"/>
        <v>#VALUE!</v>
      </c>
      <c r="O123" s="3" t="e">
        <f t="shared" si="26"/>
        <v>#VALUE!</v>
      </c>
      <c r="P123" s="3">
        <v>262</v>
      </c>
      <c r="Q123" s="3">
        <v>128240</v>
      </c>
      <c r="R123" s="3">
        <v>4</v>
      </c>
      <c r="T123" t="e">
        <f t="shared" si="28"/>
        <v>#VALUE!</v>
      </c>
      <c r="U123" t="e">
        <f t="shared" si="27"/>
        <v>#VALUE!</v>
      </c>
    </row>
    <row r="124" spans="1:21" x14ac:dyDescent="0.35">
      <c r="A124" s="1">
        <v>123</v>
      </c>
      <c r="B124" s="8">
        <v>186</v>
      </c>
      <c r="C124" s="3" t="e">
        <f t="shared" si="21"/>
        <v>#VALUE!</v>
      </c>
      <c r="D124" s="8" t="e">
        <f t="shared" si="16"/>
        <v>#VALUE!</v>
      </c>
      <c r="E124" s="3" t="e">
        <f t="shared" si="22"/>
        <v>#VALUE!</v>
      </c>
      <c r="F124" s="8" t="e">
        <f t="shared" si="17"/>
        <v>#VALUE!</v>
      </c>
      <c r="G124" s="3" t="e">
        <f t="shared" si="18"/>
        <v>#VALUE!</v>
      </c>
      <c r="H124" s="3">
        <v>618</v>
      </c>
      <c r="I124" s="8" t="e">
        <f t="shared" si="19"/>
        <v>#VALUE!</v>
      </c>
      <c r="J124" s="3">
        <v>174814</v>
      </c>
      <c r="K124" s="3" t="e">
        <f t="shared" si="20"/>
        <v>#VALUE!</v>
      </c>
      <c r="L124" s="8" t="e">
        <f t="shared" si="23"/>
        <v>#VALUE!</v>
      </c>
      <c r="M124" s="8" t="e">
        <f t="shared" si="24"/>
        <v>#VALUE!</v>
      </c>
      <c r="N124" s="3" t="e">
        <f t="shared" si="25"/>
        <v>#VALUE!</v>
      </c>
      <c r="O124" s="3" t="e">
        <f t="shared" si="26"/>
        <v>#VALUE!</v>
      </c>
      <c r="P124" s="3">
        <v>354</v>
      </c>
      <c r="Q124" s="3">
        <v>240643</v>
      </c>
      <c r="R124" s="3">
        <v>5</v>
      </c>
      <c r="T124" t="e">
        <f t="shared" si="28"/>
        <v>#VALUE!</v>
      </c>
      <c r="U124" t="e">
        <f t="shared" si="27"/>
        <v>#VALUE!</v>
      </c>
    </row>
    <row r="125" spans="1:21" x14ac:dyDescent="0.35">
      <c r="A125" s="1">
        <v>124</v>
      </c>
      <c r="B125" s="8">
        <v>46</v>
      </c>
      <c r="C125" s="3" t="e">
        <f t="shared" si="21"/>
        <v>#VALUE!</v>
      </c>
      <c r="D125" s="8" t="e">
        <f t="shared" si="16"/>
        <v>#VALUE!</v>
      </c>
      <c r="E125" s="3" t="e">
        <f t="shared" si="22"/>
        <v>#VALUE!</v>
      </c>
      <c r="F125" s="8" t="e">
        <f t="shared" si="17"/>
        <v>#VALUE!</v>
      </c>
      <c r="G125" s="3" t="e">
        <f t="shared" si="18"/>
        <v>#VALUE!</v>
      </c>
      <c r="H125" s="3">
        <v>283</v>
      </c>
      <c r="I125" s="8" t="e">
        <f t="shared" si="19"/>
        <v>#VALUE!</v>
      </c>
      <c r="J125" s="3">
        <v>401073</v>
      </c>
      <c r="K125" s="3" t="e">
        <f t="shared" si="20"/>
        <v>#VALUE!</v>
      </c>
      <c r="L125" s="8" t="e">
        <f t="shared" si="23"/>
        <v>#VALUE!</v>
      </c>
      <c r="M125" s="8" t="e">
        <f t="shared" si="24"/>
        <v>#VALUE!</v>
      </c>
      <c r="N125" s="3" t="e">
        <f t="shared" si="25"/>
        <v>#VALUE!</v>
      </c>
      <c r="O125" s="3" t="e">
        <f t="shared" si="26"/>
        <v>#VALUE!</v>
      </c>
      <c r="P125" s="3">
        <v>278</v>
      </c>
      <c r="Q125" s="3">
        <v>119036</v>
      </c>
      <c r="R125" s="3">
        <v>3</v>
      </c>
      <c r="T125" t="e">
        <f t="shared" si="28"/>
        <v>#VALUE!</v>
      </c>
      <c r="U125" t="e">
        <f t="shared" si="27"/>
        <v>#VALUE!</v>
      </c>
    </row>
    <row r="126" spans="1:21" x14ac:dyDescent="0.35">
      <c r="A126" s="1">
        <v>125</v>
      </c>
      <c r="B126" s="8">
        <v>124</v>
      </c>
      <c r="C126" s="3" t="e">
        <f t="shared" si="21"/>
        <v>#VALUE!</v>
      </c>
      <c r="D126" s="8" t="e">
        <f t="shared" si="16"/>
        <v>#VALUE!</v>
      </c>
      <c r="E126" s="3" t="e">
        <f t="shared" si="22"/>
        <v>#VALUE!</v>
      </c>
      <c r="F126" s="8" t="e">
        <f t="shared" si="17"/>
        <v>#VALUE!</v>
      </c>
      <c r="G126" s="3" t="e">
        <f t="shared" si="18"/>
        <v>#VALUE!</v>
      </c>
      <c r="H126" s="3">
        <v>278</v>
      </c>
      <c r="I126" s="8" t="e">
        <f t="shared" si="19"/>
        <v>#VALUE!</v>
      </c>
      <c r="J126" s="3">
        <v>119036</v>
      </c>
      <c r="K126" s="3" t="e">
        <f t="shared" si="20"/>
        <v>#VALUE!</v>
      </c>
      <c r="L126" s="8" t="e">
        <f t="shared" si="23"/>
        <v>#VALUE!</v>
      </c>
      <c r="M126" s="8" t="e">
        <f t="shared" si="24"/>
        <v>#VALUE!</v>
      </c>
      <c r="N126" s="3" t="e">
        <f t="shared" si="25"/>
        <v>#VALUE!</v>
      </c>
      <c r="O126" s="3" t="e">
        <f t="shared" si="26"/>
        <v>#VALUE!</v>
      </c>
      <c r="P126" s="3">
        <v>158</v>
      </c>
      <c r="Q126" s="3">
        <v>116959</v>
      </c>
      <c r="R126" s="3">
        <v>5</v>
      </c>
      <c r="T126" t="e">
        <f t="shared" si="28"/>
        <v>#VALUE!</v>
      </c>
      <c r="U126" t="e">
        <f t="shared" si="27"/>
        <v>#VALUE!</v>
      </c>
    </row>
    <row r="127" spans="1:21" x14ac:dyDescent="0.35">
      <c r="A127" s="1">
        <v>126</v>
      </c>
      <c r="B127" s="8">
        <v>15</v>
      </c>
      <c r="C127" s="3" t="e">
        <f t="shared" si="21"/>
        <v>#VALUE!</v>
      </c>
      <c r="D127" s="8" t="e">
        <f t="shared" si="16"/>
        <v>#VALUE!</v>
      </c>
      <c r="E127" s="3" t="e">
        <f t="shared" si="22"/>
        <v>#VALUE!</v>
      </c>
      <c r="F127" s="8" t="e">
        <f t="shared" si="17"/>
        <v>#VALUE!</v>
      </c>
      <c r="G127" s="3" t="e">
        <f t="shared" si="18"/>
        <v>#VALUE!</v>
      </c>
      <c r="H127" s="3">
        <v>488</v>
      </c>
      <c r="I127" s="8" t="e">
        <f t="shared" si="19"/>
        <v>#VALUE!</v>
      </c>
      <c r="J127" s="3">
        <v>196442</v>
      </c>
      <c r="K127" s="3" t="e">
        <f t="shared" si="20"/>
        <v>#VALUE!</v>
      </c>
      <c r="L127" s="8" t="e">
        <f t="shared" si="23"/>
        <v>#VALUE!</v>
      </c>
      <c r="M127" s="8" t="e">
        <f t="shared" si="24"/>
        <v>#VALUE!</v>
      </c>
      <c r="N127" s="3" t="e">
        <f t="shared" si="25"/>
        <v>#VALUE!</v>
      </c>
      <c r="O127" s="3" t="e">
        <f t="shared" si="26"/>
        <v>#VALUE!</v>
      </c>
      <c r="P127" s="3">
        <v>245</v>
      </c>
      <c r="Q127" s="3">
        <v>104995</v>
      </c>
      <c r="R127" s="3">
        <v>3</v>
      </c>
      <c r="T127" t="e">
        <f t="shared" si="28"/>
        <v>#VALUE!</v>
      </c>
      <c r="U127" t="e">
        <f t="shared" si="27"/>
        <v>#VALUE!</v>
      </c>
    </row>
    <row r="128" spans="1:21" x14ac:dyDescent="0.35">
      <c r="A128" s="1">
        <v>127</v>
      </c>
      <c r="B128" s="8">
        <v>144</v>
      </c>
      <c r="C128" s="3" t="e">
        <f t="shared" si="21"/>
        <v>#VALUE!</v>
      </c>
      <c r="D128" s="8" t="e">
        <f t="shared" si="16"/>
        <v>#VALUE!</v>
      </c>
      <c r="E128" s="3" t="e">
        <f t="shared" si="22"/>
        <v>#VALUE!</v>
      </c>
      <c r="F128" s="8" t="e">
        <f t="shared" si="17"/>
        <v>#VALUE!</v>
      </c>
      <c r="G128" s="3" t="e">
        <f t="shared" si="18"/>
        <v>#VALUE!</v>
      </c>
      <c r="H128" s="3">
        <v>651</v>
      </c>
      <c r="I128" s="8" t="e">
        <f t="shared" si="19"/>
        <v>#VALUE!</v>
      </c>
      <c r="J128" s="3">
        <v>103930</v>
      </c>
      <c r="K128" s="3" t="e">
        <f t="shared" si="20"/>
        <v>#VALUE!</v>
      </c>
      <c r="L128" s="8" t="e">
        <f t="shared" si="23"/>
        <v>#VALUE!</v>
      </c>
      <c r="M128" s="8" t="e">
        <f t="shared" si="24"/>
        <v>#VALUE!</v>
      </c>
      <c r="N128" s="3" t="e">
        <f t="shared" si="25"/>
        <v>#VALUE!</v>
      </c>
      <c r="O128" s="3" t="e">
        <f t="shared" si="26"/>
        <v>#VALUE!</v>
      </c>
      <c r="P128" s="3">
        <v>200</v>
      </c>
      <c r="Q128" s="3">
        <v>106727</v>
      </c>
      <c r="R128" s="3">
        <v>4</v>
      </c>
      <c r="T128" t="e">
        <f t="shared" si="28"/>
        <v>#VALUE!</v>
      </c>
      <c r="U128" t="e">
        <f t="shared" si="27"/>
        <v>#VALUE!</v>
      </c>
    </row>
    <row r="129" spans="1:21" x14ac:dyDescent="0.35">
      <c r="A129" s="1">
        <v>128</v>
      </c>
      <c r="B129" s="8">
        <v>231</v>
      </c>
      <c r="C129" s="3" t="e">
        <f t="shared" si="21"/>
        <v>#VALUE!</v>
      </c>
      <c r="D129" s="8" t="e">
        <f t="shared" si="16"/>
        <v>#VALUE!</v>
      </c>
      <c r="E129" s="3" t="e">
        <f t="shared" si="22"/>
        <v>#VALUE!</v>
      </c>
      <c r="F129" s="8" t="e">
        <f t="shared" si="17"/>
        <v>#VALUE!</v>
      </c>
      <c r="G129" s="3" t="e">
        <f t="shared" si="18"/>
        <v>#VALUE!</v>
      </c>
      <c r="H129" s="3">
        <v>845</v>
      </c>
      <c r="I129" s="8" t="e">
        <f t="shared" si="19"/>
        <v>#VALUE!</v>
      </c>
      <c r="J129" s="3">
        <v>194989</v>
      </c>
      <c r="K129" s="3" t="e">
        <f t="shared" si="20"/>
        <v>#VALUE!</v>
      </c>
      <c r="L129" s="8" t="e">
        <f t="shared" si="23"/>
        <v>#VALUE!</v>
      </c>
      <c r="M129" s="8" t="e">
        <f t="shared" si="24"/>
        <v>#VALUE!</v>
      </c>
      <c r="N129" s="3" t="e">
        <f t="shared" si="25"/>
        <v>#VALUE!</v>
      </c>
      <c r="O129" s="3" t="e">
        <f t="shared" si="26"/>
        <v>#VALUE!</v>
      </c>
      <c r="P129" s="3">
        <v>106</v>
      </c>
      <c r="Q129" s="3">
        <v>236142</v>
      </c>
      <c r="R129" s="3">
        <v>4</v>
      </c>
      <c r="T129" t="e">
        <f t="shared" si="28"/>
        <v>#VALUE!</v>
      </c>
      <c r="U129" t="e">
        <f t="shared" si="27"/>
        <v>#VALUE!</v>
      </c>
    </row>
    <row r="130" spans="1:21" x14ac:dyDescent="0.35">
      <c r="A130" s="1">
        <v>129</v>
      </c>
      <c r="B130" s="8">
        <v>166</v>
      </c>
      <c r="C130" s="3" t="e">
        <f t="shared" si="21"/>
        <v>#VALUE!</v>
      </c>
      <c r="D130" s="8" t="e">
        <f t="shared" ref="D130:D193" si="29">VLOOKUP(C130,$W$8:$X$10,2,FALSE)</f>
        <v>#VALUE!</v>
      </c>
      <c r="E130" s="3" t="e">
        <f t="shared" si="22"/>
        <v>#VALUE!</v>
      </c>
      <c r="F130" s="8" t="e">
        <f t="shared" ref="F130:F193" si="30">VLOOKUP(E130,$W$2:$X$4,2,FALSE)</f>
        <v>#VALUE!</v>
      </c>
      <c r="G130" s="3" t="e">
        <f t="shared" ref="G130:G193" si="31">MID($W$22,MOD(ROW(G130),5)+1,1)*(-1)^ROW(G130)</f>
        <v>#VALUE!</v>
      </c>
      <c r="H130" s="3">
        <v>751</v>
      </c>
      <c r="I130" s="8" t="e">
        <f t="shared" ref="I130:I193" si="32">H130+G130</f>
        <v>#VALUE!</v>
      </c>
      <c r="J130" s="3">
        <v>208400</v>
      </c>
      <c r="K130" s="3" t="e">
        <f t="shared" ref="K130:K193" si="33">$X$22</f>
        <v>#VALUE!</v>
      </c>
      <c r="L130" s="8" t="e">
        <f t="shared" si="23"/>
        <v>#VALUE!</v>
      </c>
      <c r="M130" s="8" t="e">
        <f t="shared" si="24"/>
        <v>#VALUE!</v>
      </c>
      <c r="N130" s="3" t="e">
        <f t="shared" si="25"/>
        <v>#VALUE!</v>
      </c>
      <c r="O130" s="3" t="e">
        <f t="shared" si="26"/>
        <v>#VALUE!</v>
      </c>
      <c r="P130" s="3">
        <v>290</v>
      </c>
      <c r="Q130" s="3">
        <v>191374</v>
      </c>
      <c r="R130" s="3">
        <v>3</v>
      </c>
      <c r="T130" t="e">
        <f t="shared" si="28"/>
        <v>#VALUE!</v>
      </c>
      <c r="U130" t="e">
        <f t="shared" si="27"/>
        <v>#VALUE!</v>
      </c>
    </row>
    <row r="131" spans="1:21" x14ac:dyDescent="0.35">
      <c r="A131" s="1">
        <v>130</v>
      </c>
      <c r="B131" s="8">
        <v>253</v>
      </c>
      <c r="C131" s="3" t="e">
        <f t="shared" ref="C131:C194" si="34">VALUE(MID(U131,MOD(A131,5)+1,1))</f>
        <v>#VALUE!</v>
      </c>
      <c r="D131" s="8" t="e">
        <f t="shared" si="29"/>
        <v>#VALUE!</v>
      </c>
      <c r="E131" s="3" t="e">
        <f t="shared" ref="E131:E194" si="35">VALUE(MID(U131,(5-MOD(A131,4)),1))</f>
        <v>#VALUE!</v>
      </c>
      <c r="F131" s="8" t="e">
        <f t="shared" si="30"/>
        <v>#VALUE!</v>
      </c>
      <c r="G131" s="3" t="e">
        <f t="shared" si="31"/>
        <v>#VALUE!</v>
      </c>
      <c r="H131" s="3">
        <v>615</v>
      </c>
      <c r="I131" s="8" t="e">
        <f t="shared" si="32"/>
        <v>#VALUE!</v>
      </c>
      <c r="J131" s="3">
        <v>160959</v>
      </c>
      <c r="K131" s="3" t="e">
        <f t="shared" si="33"/>
        <v>#VALUE!</v>
      </c>
      <c r="L131" s="8" t="e">
        <f t="shared" ref="L131:L194" si="36">VLOOKUP(O131,$Z$2:$AA$5,2,FALSE)</f>
        <v>#VALUE!</v>
      </c>
      <c r="M131" s="8" t="e">
        <f t="shared" ref="M131:M194" si="37">VLOOKUP(N131,$Z$8:$AA$10,2,FALSE)</f>
        <v>#VALUE!</v>
      </c>
      <c r="N131" s="3" t="e">
        <f t="shared" ref="N131:N194" si="38">VALUE(MID(U131,(5-MOD(A131,3)),1))</f>
        <v>#VALUE!</v>
      </c>
      <c r="O131" s="3" t="e">
        <f t="shared" ref="O131:O194" si="39">N132+N133</f>
        <v>#VALUE!</v>
      </c>
      <c r="P131" s="3">
        <v>336</v>
      </c>
      <c r="Q131" s="3">
        <v>148600</v>
      </c>
      <c r="R131" s="3">
        <v>3</v>
      </c>
      <c r="T131" t="e">
        <f t="shared" si="28"/>
        <v>#VALUE!</v>
      </c>
      <c r="U131" t="e">
        <f t="shared" ref="U131:U194" si="40">DEC2BIN(T131)</f>
        <v>#VALUE!</v>
      </c>
    </row>
    <row r="132" spans="1:21" x14ac:dyDescent="0.35">
      <c r="A132" s="1">
        <v>131</v>
      </c>
      <c r="B132" s="8">
        <v>149</v>
      </c>
      <c r="C132" s="3" t="e">
        <f t="shared" si="34"/>
        <v>#VALUE!</v>
      </c>
      <c r="D132" s="8" t="e">
        <f t="shared" si="29"/>
        <v>#VALUE!</v>
      </c>
      <c r="E132" s="3" t="e">
        <f t="shared" si="35"/>
        <v>#VALUE!</v>
      </c>
      <c r="F132" s="8" t="e">
        <f t="shared" si="30"/>
        <v>#VALUE!</v>
      </c>
      <c r="G132" s="3" t="e">
        <f t="shared" si="31"/>
        <v>#VALUE!</v>
      </c>
      <c r="H132" s="3">
        <v>803</v>
      </c>
      <c r="I132" s="8" t="e">
        <f t="shared" si="32"/>
        <v>#VALUE!</v>
      </c>
      <c r="J132" s="3">
        <v>280926</v>
      </c>
      <c r="K132" s="3" t="e">
        <f t="shared" si="33"/>
        <v>#VALUE!</v>
      </c>
      <c r="L132" s="8" t="e">
        <f t="shared" si="36"/>
        <v>#VALUE!</v>
      </c>
      <c r="M132" s="8" t="e">
        <f t="shared" si="37"/>
        <v>#VALUE!</v>
      </c>
      <c r="N132" s="3" t="e">
        <f t="shared" si="38"/>
        <v>#VALUE!</v>
      </c>
      <c r="O132" s="3" t="e">
        <f t="shared" si="39"/>
        <v>#VALUE!</v>
      </c>
      <c r="P132" s="3">
        <v>192</v>
      </c>
      <c r="Q132" s="3">
        <v>272642</v>
      </c>
      <c r="R132" s="3">
        <v>2</v>
      </c>
      <c r="T132" t="e">
        <f t="shared" ref="T132:T195" si="41">T131+1</f>
        <v>#VALUE!</v>
      </c>
      <c r="U132" t="e">
        <f t="shared" si="40"/>
        <v>#VALUE!</v>
      </c>
    </row>
    <row r="133" spans="1:21" x14ac:dyDescent="0.35">
      <c r="A133" s="1">
        <v>132</v>
      </c>
      <c r="B133" s="8">
        <v>192</v>
      </c>
      <c r="C133" s="3" t="e">
        <f t="shared" si="34"/>
        <v>#VALUE!</v>
      </c>
      <c r="D133" s="8" t="e">
        <f t="shared" si="29"/>
        <v>#VALUE!</v>
      </c>
      <c r="E133" s="3" t="e">
        <f t="shared" si="35"/>
        <v>#VALUE!</v>
      </c>
      <c r="F133" s="8" t="e">
        <f t="shared" si="30"/>
        <v>#VALUE!</v>
      </c>
      <c r="G133" s="3" t="e">
        <f t="shared" si="31"/>
        <v>#VALUE!</v>
      </c>
      <c r="H133" s="3">
        <v>772</v>
      </c>
      <c r="I133" s="8" t="e">
        <f t="shared" si="32"/>
        <v>#VALUE!</v>
      </c>
      <c r="J133" s="3">
        <v>151634</v>
      </c>
      <c r="K133" s="3" t="e">
        <f t="shared" si="33"/>
        <v>#VALUE!</v>
      </c>
      <c r="L133" s="8" t="e">
        <f t="shared" si="36"/>
        <v>#VALUE!</v>
      </c>
      <c r="M133" s="8" t="e">
        <f t="shared" si="37"/>
        <v>#VALUE!</v>
      </c>
      <c r="N133" s="3" t="e">
        <f t="shared" si="38"/>
        <v>#VALUE!</v>
      </c>
      <c r="O133" s="3" t="e">
        <f t="shared" si="39"/>
        <v>#VALUE!</v>
      </c>
      <c r="P133" s="3">
        <v>522</v>
      </c>
      <c r="Q133" s="3">
        <v>141353</v>
      </c>
      <c r="R133" s="3">
        <v>4</v>
      </c>
      <c r="T133" t="e">
        <f t="shared" si="41"/>
        <v>#VALUE!</v>
      </c>
      <c r="U133" t="e">
        <f t="shared" si="40"/>
        <v>#VALUE!</v>
      </c>
    </row>
    <row r="134" spans="1:21" x14ac:dyDescent="0.35">
      <c r="A134" s="1">
        <v>133</v>
      </c>
      <c r="B134" s="8">
        <v>136</v>
      </c>
      <c r="C134" s="3" t="e">
        <f t="shared" si="34"/>
        <v>#VALUE!</v>
      </c>
      <c r="D134" s="8" t="e">
        <f t="shared" si="29"/>
        <v>#VALUE!</v>
      </c>
      <c r="E134" s="3" t="e">
        <f t="shared" si="35"/>
        <v>#VALUE!</v>
      </c>
      <c r="F134" s="8" t="e">
        <f t="shared" si="30"/>
        <v>#VALUE!</v>
      </c>
      <c r="G134" s="3" t="e">
        <f t="shared" si="31"/>
        <v>#VALUE!</v>
      </c>
      <c r="H134" s="3">
        <v>143</v>
      </c>
      <c r="I134" s="8" t="e">
        <f t="shared" si="32"/>
        <v>#VALUE!</v>
      </c>
      <c r="J134" s="3">
        <v>264730</v>
      </c>
      <c r="K134" s="3" t="e">
        <f t="shared" si="33"/>
        <v>#VALUE!</v>
      </c>
      <c r="L134" s="8" t="e">
        <f t="shared" si="36"/>
        <v>#VALUE!</v>
      </c>
      <c r="M134" s="8" t="e">
        <f t="shared" si="37"/>
        <v>#VALUE!</v>
      </c>
      <c r="N134" s="3" t="e">
        <f t="shared" si="38"/>
        <v>#VALUE!</v>
      </c>
      <c r="O134" s="3" t="e">
        <f t="shared" si="39"/>
        <v>#VALUE!</v>
      </c>
      <c r="P134" s="3">
        <v>402</v>
      </c>
      <c r="Q134" s="3">
        <v>70281</v>
      </c>
      <c r="R134" s="3">
        <v>5</v>
      </c>
      <c r="T134" t="e">
        <f t="shared" si="41"/>
        <v>#VALUE!</v>
      </c>
      <c r="U134" t="e">
        <f t="shared" si="40"/>
        <v>#VALUE!</v>
      </c>
    </row>
    <row r="135" spans="1:21" x14ac:dyDescent="0.35">
      <c r="A135" s="1">
        <v>134</v>
      </c>
      <c r="B135" s="8">
        <v>204</v>
      </c>
      <c r="C135" s="3" t="e">
        <f t="shared" si="34"/>
        <v>#VALUE!</v>
      </c>
      <c r="D135" s="8" t="e">
        <f t="shared" si="29"/>
        <v>#VALUE!</v>
      </c>
      <c r="E135" s="3" t="e">
        <f t="shared" si="35"/>
        <v>#VALUE!</v>
      </c>
      <c r="F135" s="8" t="e">
        <f t="shared" si="30"/>
        <v>#VALUE!</v>
      </c>
      <c r="G135" s="3" t="e">
        <f t="shared" si="31"/>
        <v>#VALUE!</v>
      </c>
      <c r="H135" s="3">
        <v>656</v>
      </c>
      <c r="I135" s="8" t="e">
        <f t="shared" si="32"/>
        <v>#VALUE!</v>
      </c>
      <c r="J135" s="3">
        <v>251334</v>
      </c>
      <c r="K135" s="3" t="e">
        <f t="shared" si="33"/>
        <v>#VALUE!</v>
      </c>
      <c r="L135" s="8" t="e">
        <f t="shared" si="36"/>
        <v>#VALUE!</v>
      </c>
      <c r="M135" s="8" t="e">
        <f t="shared" si="37"/>
        <v>#VALUE!</v>
      </c>
      <c r="N135" s="3" t="e">
        <f t="shared" si="38"/>
        <v>#VALUE!</v>
      </c>
      <c r="O135" s="3" t="e">
        <f t="shared" si="39"/>
        <v>#VALUE!</v>
      </c>
      <c r="P135" s="3">
        <v>155</v>
      </c>
      <c r="Q135" s="3">
        <v>122047</v>
      </c>
      <c r="R135" s="3">
        <v>4</v>
      </c>
      <c r="T135" t="e">
        <f t="shared" si="41"/>
        <v>#VALUE!</v>
      </c>
      <c r="U135" t="e">
        <f t="shared" si="40"/>
        <v>#VALUE!</v>
      </c>
    </row>
    <row r="136" spans="1:21" x14ac:dyDescent="0.35">
      <c r="A136" s="1">
        <v>135</v>
      </c>
      <c r="B136" s="8">
        <v>249</v>
      </c>
      <c r="C136" s="3" t="e">
        <f t="shared" si="34"/>
        <v>#VALUE!</v>
      </c>
      <c r="D136" s="8" t="e">
        <f t="shared" si="29"/>
        <v>#VALUE!</v>
      </c>
      <c r="E136" s="3" t="e">
        <f t="shared" si="35"/>
        <v>#VALUE!</v>
      </c>
      <c r="F136" s="8" t="e">
        <f t="shared" si="30"/>
        <v>#VALUE!</v>
      </c>
      <c r="G136" s="3" t="e">
        <f t="shared" si="31"/>
        <v>#VALUE!</v>
      </c>
      <c r="H136" s="3">
        <v>682</v>
      </c>
      <c r="I136" s="8" t="e">
        <f t="shared" si="32"/>
        <v>#VALUE!</v>
      </c>
      <c r="J136" s="3">
        <v>67876</v>
      </c>
      <c r="K136" s="3" t="e">
        <f t="shared" si="33"/>
        <v>#VALUE!</v>
      </c>
      <c r="L136" s="8" t="e">
        <f t="shared" si="36"/>
        <v>#VALUE!</v>
      </c>
      <c r="M136" s="8" t="e">
        <f t="shared" si="37"/>
        <v>#VALUE!</v>
      </c>
      <c r="N136" s="3" t="e">
        <f t="shared" si="38"/>
        <v>#VALUE!</v>
      </c>
      <c r="O136" s="3" t="e">
        <f t="shared" si="39"/>
        <v>#VALUE!</v>
      </c>
      <c r="P136" s="3">
        <v>141</v>
      </c>
      <c r="Q136" s="3">
        <v>254252</v>
      </c>
      <c r="R136" s="3">
        <v>3</v>
      </c>
      <c r="T136" t="e">
        <f t="shared" si="41"/>
        <v>#VALUE!</v>
      </c>
      <c r="U136" t="e">
        <f t="shared" si="40"/>
        <v>#VALUE!</v>
      </c>
    </row>
    <row r="137" spans="1:21" x14ac:dyDescent="0.35">
      <c r="A137" s="1">
        <v>136</v>
      </c>
      <c r="B137" s="8">
        <v>238</v>
      </c>
      <c r="C137" s="3" t="e">
        <f t="shared" si="34"/>
        <v>#VALUE!</v>
      </c>
      <c r="D137" s="8" t="e">
        <f t="shared" si="29"/>
        <v>#VALUE!</v>
      </c>
      <c r="E137" s="3" t="e">
        <f t="shared" si="35"/>
        <v>#VALUE!</v>
      </c>
      <c r="F137" s="8" t="e">
        <f t="shared" si="30"/>
        <v>#VALUE!</v>
      </c>
      <c r="G137" s="3" t="e">
        <f t="shared" si="31"/>
        <v>#VALUE!</v>
      </c>
      <c r="H137" s="3">
        <v>686</v>
      </c>
      <c r="I137" s="8" t="e">
        <f t="shared" si="32"/>
        <v>#VALUE!</v>
      </c>
      <c r="J137" s="3">
        <v>289694</v>
      </c>
      <c r="K137" s="3" t="e">
        <f t="shared" si="33"/>
        <v>#VALUE!</v>
      </c>
      <c r="L137" s="8" t="e">
        <f t="shared" si="36"/>
        <v>#VALUE!</v>
      </c>
      <c r="M137" s="8" t="e">
        <f t="shared" si="37"/>
        <v>#VALUE!</v>
      </c>
      <c r="N137" s="3" t="e">
        <f t="shared" si="38"/>
        <v>#VALUE!</v>
      </c>
      <c r="O137" s="3" t="e">
        <f t="shared" si="39"/>
        <v>#VALUE!</v>
      </c>
      <c r="P137" s="3">
        <v>143</v>
      </c>
      <c r="Q137" s="3">
        <v>264730</v>
      </c>
      <c r="R137" s="3">
        <v>4</v>
      </c>
      <c r="T137" t="e">
        <f t="shared" si="41"/>
        <v>#VALUE!</v>
      </c>
      <c r="U137" t="e">
        <f t="shared" si="40"/>
        <v>#VALUE!</v>
      </c>
    </row>
    <row r="138" spans="1:21" x14ac:dyDescent="0.35">
      <c r="A138" s="1">
        <v>137</v>
      </c>
      <c r="B138" s="8">
        <v>129</v>
      </c>
      <c r="C138" s="3" t="e">
        <f t="shared" si="34"/>
        <v>#VALUE!</v>
      </c>
      <c r="D138" s="8" t="e">
        <f t="shared" si="29"/>
        <v>#VALUE!</v>
      </c>
      <c r="E138" s="3" t="e">
        <f t="shared" si="35"/>
        <v>#VALUE!</v>
      </c>
      <c r="F138" s="8" t="e">
        <f t="shared" si="30"/>
        <v>#VALUE!</v>
      </c>
      <c r="G138" s="3" t="e">
        <f t="shared" si="31"/>
        <v>#VALUE!</v>
      </c>
      <c r="H138" s="3">
        <v>290</v>
      </c>
      <c r="I138" s="8" t="e">
        <f t="shared" si="32"/>
        <v>#VALUE!</v>
      </c>
      <c r="J138" s="3">
        <v>191374</v>
      </c>
      <c r="K138" s="3" t="e">
        <f t="shared" si="33"/>
        <v>#VALUE!</v>
      </c>
      <c r="L138" s="8" t="e">
        <f t="shared" si="36"/>
        <v>#VALUE!</v>
      </c>
      <c r="M138" s="8" t="e">
        <f t="shared" si="37"/>
        <v>#VALUE!</v>
      </c>
      <c r="N138" s="3" t="e">
        <f t="shared" si="38"/>
        <v>#VALUE!</v>
      </c>
      <c r="O138" s="3" t="e">
        <f t="shared" si="39"/>
        <v>#VALUE!</v>
      </c>
      <c r="P138" s="3">
        <v>202</v>
      </c>
      <c r="Q138" s="3">
        <v>227677</v>
      </c>
      <c r="R138" s="3">
        <v>3</v>
      </c>
      <c r="T138" t="e">
        <f t="shared" si="41"/>
        <v>#VALUE!</v>
      </c>
      <c r="U138" t="e">
        <f t="shared" si="40"/>
        <v>#VALUE!</v>
      </c>
    </row>
    <row r="139" spans="1:21" x14ac:dyDescent="0.35">
      <c r="A139" s="1">
        <v>138</v>
      </c>
      <c r="B139" s="8">
        <v>53</v>
      </c>
      <c r="C139" s="3" t="e">
        <f t="shared" si="34"/>
        <v>#VALUE!</v>
      </c>
      <c r="D139" s="8" t="e">
        <f t="shared" si="29"/>
        <v>#VALUE!</v>
      </c>
      <c r="E139" s="3" t="e">
        <f t="shared" si="35"/>
        <v>#VALUE!</v>
      </c>
      <c r="F139" s="8" t="e">
        <f t="shared" si="30"/>
        <v>#VALUE!</v>
      </c>
      <c r="G139" s="3" t="e">
        <f t="shared" si="31"/>
        <v>#VALUE!</v>
      </c>
      <c r="H139" s="3">
        <v>339</v>
      </c>
      <c r="I139" s="8" t="e">
        <f t="shared" si="32"/>
        <v>#VALUE!</v>
      </c>
      <c r="J139" s="3">
        <v>132624</v>
      </c>
      <c r="K139" s="3" t="e">
        <f t="shared" si="33"/>
        <v>#VALUE!</v>
      </c>
      <c r="L139" s="8" t="e">
        <f t="shared" si="36"/>
        <v>#VALUE!</v>
      </c>
      <c r="M139" s="8" t="e">
        <f t="shared" si="37"/>
        <v>#VALUE!</v>
      </c>
      <c r="N139" s="3" t="e">
        <f t="shared" si="38"/>
        <v>#VALUE!</v>
      </c>
      <c r="O139" s="3" t="e">
        <f t="shared" si="39"/>
        <v>#VALUE!</v>
      </c>
      <c r="P139" s="3">
        <v>292</v>
      </c>
      <c r="Q139" s="3">
        <v>282933</v>
      </c>
      <c r="R139" s="3">
        <v>3</v>
      </c>
      <c r="T139" t="e">
        <f t="shared" si="41"/>
        <v>#VALUE!</v>
      </c>
      <c r="U139" t="e">
        <f t="shared" si="40"/>
        <v>#VALUE!</v>
      </c>
    </row>
    <row r="140" spans="1:21" x14ac:dyDescent="0.35">
      <c r="A140" s="1">
        <v>139</v>
      </c>
      <c r="B140" s="8">
        <v>28</v>
      </c>
      <c r="C140" s="3" t="e">
        <f t="shared" si="34"/>
        <v>#VALUE!</v>
      </c>
      <c r="D140" s="8" t="e">
        <f t="shared" si="29"/>
        <v>#VALUE!</v>
      </c>
      <c r="E140" s="3" t="e">
        <f t="shared" si="35"/>
        <v>#VALUE!</v>
      </c>
      <c r="F140" s="8" t="e">
        <f t="shared" si="30"/>
        <v>#VALUE!</v>
      </c>
      <c r="G140" s="3" t="e">
        <f t="shared" si="31"/>
        <v>#VALUE!</v>
      </c>
      <c r="H140" s="3">
        <v>174</v>
      </c>
      <c r="I140" s="8" t="e">
        <f t="shared" si="32"/>
        <v>#VALUE!</v>
      </c>
      <c r="J140" s="3">
        <v>140397</v>
      </c>
      <c r="K140" s="3" t="e">
        <f t="shared" si="33"/>
        <v>#VALUE!</v>
      </c>
      <c r="L140" s="8" t="e">
        <f t="shared" si="36"/>
        <v>#VALUE!</v>
      </c>
      <c r="M140" s="8" t="e">
        <f t="shared" si="37"/>
        <v>#VALUE!</v>
      </c>
      <c r="N140" s="3" t="e">
        <f t="shared" si="38"/>
        <v>#VALUE!</v>
      </c>
      <c r="O140" s="3" t="e">
        <f t="shared" si="39"/>
        <v>#VALUE!</v>
      </c>
      <c r="P140" s="3">
        <v>213</v>
      </c>
      <c r="Q140" s="3">
        <v>132497</v>
      </c>
      <c r="R140" s="3">
        <v>2</v>
      </c>
      <c r="T140" t="e">
        <f t="shared" si="41"/>
        <v>#VALUE!</v>
      </c>
      <c r="U140" t="e">
        <f t="shared" si="40"/>
        <v>#VALUE!</v>
      </c>
    </row>
    <row r="141" spans="1:21" x14ac:dyDescent="0.35">
      <c r="A141" s="1">
        <v>140</v>
      </c>
      <c r="B141" s="8">
        <v>97</v>
      </c>
      <c r="C141" s="3" t="e">
        <f t="shared" si="34"/>
        <v>#VALUE!</v>
      </c>
      <c r="D141" s="8" t="e">
        <f t="shared" si="29"/>
        <v>#VALUE!</v>
      </c>
      <c r="E141" s="3" t="e">
        <f t="shared" si="35"/>
        <v>#VALUE!</v>
      </c>
      <c r="F141" s="8" t="e">
        <f t="shared" si="30"/>
        <v>#VALUE!</v>
      </c>
      <c r="G141" s="3" t="e">
        <f t="shared" si="31"/>
        <v>#VALUE!</v>
      </c>
      <c r="H141" s="3">
        <v>588</v>
      </c>
      <c r="I141" s="8" t="e">
        <f t="shared" si="32"/>
        <v>#VALUE!</v>
      </c>
      <c r="J141" s="3">
        <v>95933</v>
      </c>
      <c r="K141" s="3" t="e">
        <f t="shared" si="33"/>
        <v>#VALUE!</v>
      </c>
      <c r="L141" s="8" t="e">
        <f t="shared" si="36"/>
        <v>#VALUE!</v>
      </c>
      <c r="M141" s="8" t="e">
        <f t="shared" si="37"/>
        <v>#VALUE!</v>
      </c>
      <c r="N141" s="3" t="e">
        <f t="shared" si="38"/>
        <v>#VALUE!</v>
      </c>
      <c r="O141" s="3" t="e">
        <f t="shared" si="39"/>
        <v>#VALUE!</v>
      </c>
      <c r="P141" s="3">
        <v>213</v>
      </c>
      <c r="Q141" s="3">
        <v>132501</v>
      </c>
      <c r="R141" s="3">
        <v>3</v>
      </c>
      <c r="T141" t="e">
        <f t="shared" si="41"/>
        <v>#VALUE!</v>
      </c>
      <c r="U141" t="e">
        <f t="shared" si="40"/>
        <v>#VALUE!</v>
      </c>
    </row>
    <row r="142" spans="1:21" x14ac:dyDescent="0.35">
      <c r="A142" s="1">
        <v>141</v>
      </c>
      <c r="B142" s="8">
        <v>234</v>
      </c>
      <c r="C142" s="3" t="e">
        <f t="shared" si="34"/>
        <v>#VALUE!</v>
      </c>
      <c r="D142" s="8" t="e">
        <f t="shared" si="29"/>
        <v>#VALUE!</v>
      </c>
      <c r="E142" s="3" t="e">
        <f t="shared" si="35"/>
        <v>#VALUE!</v>
      </c>
      <c r="F142" s="8" t="e">
        <f t="shared" si="30"/>
        <v>#VALUE!</v>
      </c>
      <c r="G142" s="3" t="e">
        <f t="shared" si="31"/>
        <v>#VALUE!</v>
      </c>
      <c r="H142" s="3">
        <v>791</v>
      </c>
      <c r="I142" s="8" t="e">
        <f t="shared" si="32"/>
        <v>#VALUE!</v>
      </c>
      <c r="J142" s="3">
        <v>245593</v>
      </c>
      <c r="K142" s="3" t="e">
        <f t="shared" si="33"/>
        <v>#VALUE!</v>
      </c>
      <c r="L142" s="8" t="e">
        <f t="shared" si="36"/>
        <v>#VALUE!</v>
      </c>
      <c r="M142" s="8" t="e">
        <f t="shared" si="37"/>
        <v>#VALUE!</v>
      </c>
      <c r="N142" s="3" t="e">
        <f t="shared" si="38"/>
        <v>#VALUE!</v>
      </c>
      <c r="O142" s="3" t="e">
        <f t="shared" si="39"/>
        <v>#VALUE!</v>
      </c>
      <c r="P142" s="3">
        <v>619</v>
      </c>
      <c r="Q142" s="3">
        <v>192869</v>
      </c>
      <c r="R142" s="3">
        <v>4</v>
      </c>
      <c r="T142" t="e">
        <f t="shared" si="41"/>
        <v>#VALUE!</v>
      </c>
      <c r="U142" t="e">
        <f t="shared" si="40"/>
        <v>#VALUE!</v>
      </c>
    </row>
    <row r="143" spans="1:21" x14ac:dyDescent="0.35">
      <c r="A143" s="1">
        <v>142</v>
      </c>
      <c r="B143" s="8">
        <v>215</v>
      </c>
      <c r="C143" s="3" t="e">
        <f t="shared" si="34"/>
        <v>#VALUE!</v>
      </c>
      <c r="D143" s="8" t="e">
        <f t="shared" si="29"/>
        <v>#VALUE!</v>
      </c>
      <c r="E143" s="3" t="e">
        <f t="shared" si="35"/>
        <v>#VALUE!</v>
      </c>
      <c r="F143" s="8" t="e">
        <f t="shared" si="30"/>
        <v>#VALUE!</v>
      </c>
      <c r="G143" s="3" t="e">
        <f t="shared" si="31"/>
        <v>#VALUE!</v>
      </c>
      <c r="H143" s="3">
        <v>719</v>
      </c>
      <c r="I143" s="8" t="e">
        <f t="shared" si="32"/>
        <v>#VALUE!</v>
      </c>
      <c r="J143" s="3">
        <v>237644</v>
      </c>
      <c r="K143" s="3" t="e">
        <f t="shared" si="33"/>
        <v>#VALUE!</v>
      </c>
      <c r="L143" s="8" t="e">
        <f t="shared" si="36"/>
        <v>#VALUE!</v>
      </c>
      <c r="M143" s="8" t="e">
        <f t="shared" si="37"/>
        <v>#VALUE!</v>
      </c>
      <c r="N143" s="3" t="e">
        <f t="shared" si="38"/>
        <v>#VALUE!</v>
      </c>
      <c r="O143" s="3" t="e">
        <f t="shared" si="39"/>
        <v>#VALUE!</v>
      </c>
      <c r="P143" s="3">
        <v>315</v>
      </c>
      <c r="Q143" s="3">
        <v>100762</v>
      </c>
      <c r="R143" s="3">
        <v>5</v>
      </c>
      <c r="T143" t="e">
        <f t="shared" si="41"/>
        <v>#VALUE!</v>
      </c>
      <c r="U143" t="e">
        <f t="shared" si="40"/>
        <v>#VALUE!</v>
      </c>
    </row>
    <row r="144" spans="1:21" x14ac:dyDescent="0.35">
      <c r="A144" s="1">
        <v>143</v>
      </c>
      <c r="B144" s="8">
        <v>137</v>
      </c>
      <c r="C144" s="3" t="e">
        <f t="shared" si="34"/>
        <v>#VALUE!</v>
      </c>
      <c r="D144" s="8" t="e">
        <f t="shared" si="29"/>
        <v>#VALUE!</v>
      </c>
      <c r="E144" s="3" t="e">
        <f t="shared" si="35"/>
        <v>#VALUE!</v>
      </c>
      <c r="F144" s="8" t="e">
        <f t="shared" si="30"/>
        <v>#VALUE!</v>
      </c>
      <c r="G144" s="3" t="e">
        <f t="shared" si="31"/>
        <v>#VALUE!</v>
      </c>
      <c r="H144" s="3">
        <v>202</v>
      </c>
      <c r="I144" s="8" t="e">
        <f t="shared" si="32"/>
        <v>#VALUE!</v>
      </c>
      <c r="J144" s="3">
        <v>227677</v>
      </c>
      <c r="K144" s="3" t="e">
        <f t="shared" si="33"/>
        <v>#VALUE!</v>
      </c>
      <c r="L144" s="8" t="e">
        <f t="shared" si="36"/>
        <v>#VALUE!</v>
      </c>
      <c r="M144" s="8" t="e">
        <f t="shared" si="37"/>
        <v>#VALUE!</v>
      </c>
      <c r="N144" s="3" t="e">
        <f t="shared" si="38"/>
        <v>#VALUE!</v>
      </c>
      <c r="O144" s="3" t="e">
        <f t="shared" si="39"/>
        <v>#VALUE!</v>
      </c>
      <c r="P144" s="3">
        <v>647</v>
      </c>
      <c r="Q144" s="3">
        <v>176262</v>
      </c>
      <c r="R144" s="3">
        <v>5</v>
      </c>
      <c r="T144" t="e">
        <f t="shared" si="41"/>
        <v>#VALUE!</v>
      </c>
      <c r="U144" t="e">
        <f t="shared" si="40"/>
        <v>#VALUE!</v>
      </c>
    </row>
    <row r="145" spans="1:21" x14ac:dyDescent="0.35">
      <c r="A145" s="1">
        <v>144</v>
      </c>
      <c r="B145" s="8">
        <v>159</v>
      </c>
      <c r="C145" s="3" t="e">
        <f t="shared" si="34"/>
        <v>#VALUE!</v>
      </c>
      <c r="D145" s="8" t="e">
        <f t="shared" si="29"/>
        <v>#VALUE!</v>
      </c>
      <c r="E145" s="3" t="e">
        <f t="shared" si="35"/>
        <v>#VALUE!</v>
      </c>
      <c r="F145" s="8" t="e">
        <f t="shared" si="30"/>
        <v>#VALUE!</v>
      </c>
      <c r="G145" s="3" t="e">
        <f t="shared" si="31"/>
        <v>#VALUE!</v>
      </c>
      <c r="H145" s="3">
        <v>762</v>
      </c>
      <c r="I145" s="8" t="e">
        <f t="shared" si="32"/>
        <v>#VALUE!</v>
      </c>
      <c r="J145" s="3">
        <v>203007</v>
      </c>
      <c r="K145" s="3" t="e">
        <f t="shared" si="33"/>
        <v>#VALUE!</v>
      </c>
      <c r="L145" s="8" t="e">
        <f t="shared" si="36"/>
        <v>#VALUE!</v>
      </c>
      <c r="M145" s="8" t="e">
        <f t="shared" si="37"/>
        <v>#VALUE!</v>
      </c>
      <c r="N145" s="3" t="e">
        <f t="shared" si="38"/>
        <v>#VALUE!</v>
      </c>
      <c r="O145" s="3" t="e">
        <f t="shared" si="39"/>
        <v>#VALUE!</v>
      </c>
      <c r="P145" s="3">
        <v>651</v>
      </c>
      <c r="Q145" s="3">
        <v>103930</v>
      </c>
      <c r="R145" s="3">
        <v>3</v>
      </c>
      <c r="T145" t="e">
        <f t="shared" si="41"/>
        <v>#VALUE!</v>
      </c>
      <c r="U145" t="e">
        <f t="shared" si="40"/>
        <v>#VALUE!</v>
      </c>
    </row>
    <row r="146" spans="1:21" x14ac:dyDescent="0.35">
      <c r="A146" s="1">
        <v>145</v>
      </c>
      <c r="B146" s="8">
        <v>111</v>
      </c>
      <c r="C146" s="3" t="e">
        <f t="shared" si="34"/>
        <v>#VALUE!</v>
      </c>
      <c r="D146" s="8" t="e">
        <f t="shared" si="29"/>
        <v>#VALUE!</v>
      </c>
      <c r="E146" s="3" t="e">
        <f t="shared" si="35"/>
        <v>#VALUE!</v>
      </c>
      <c r="F146" s="8" t="e">
        <f t="shared" si="30"/>
        <v>#VALUE!</v>
      </c>
      <c r="G146" s="3" t="e">
        <f t="shared" si="31"/>
        <v>#VALUE!</v>
      </c>
      <c r="H146" s="3">
        <v>219</v>
      </c>
      <c r="I146" s="8" t="e">
        <f t="shared" si="32"/>
        <v>#VALUE!</v>
      </c>
      <c r="J146" s="3">
        <v>177002</v>
      </c>
      <c r="K146" s="3" t="e">
        <f t="shared" si="33"/>
        <v>#VALUE!</v>
      </c>
      <c r="L146" s="8" t="e">
        <f t="shared" si="36"/>
        <v>#VALUE!</v>
      </c>
      <c r="M146" s="8" t="e">
        <f t="shared" si="37"/>
        <v>#VALUE!</v>
      </c>
      <c r="N146" s="3" t="e">
        <f t="shared" si="38"/>
        <v>#VALUE!</v>
      </c>
      <c r="O146" s="3" t="e">
        <f t="shared" si="39"/>
        <v>#VALUE!</v>
      </c>
      <c r="P146" s="3">
        <v>864</v>
      </c>
      <c r="Q146" s="3">
        <v>264802</v>
      </c>
      <c r="R146" s="3">
        <v>3</v>
      </c>
      <c r="T146" t="e">
        <f t="shared" si="41"/>
        <v>#VALUE!</v>
      </c>
      <c r="U146" t="e">
        <f t="shared" si="40"/>
        <v>#VALUE!</v>
      </c>
    </row>
    <row r="147" spans="1:21" x14ac:dyDescent="0.35">
      <c r="A147" s="1">
        <v>146</v>
      </c>
      <c r="B147" s="8">
        <v>75</v>
      </c>
      <c r="C147" s="3" t="e">
        <f t="shared" si="34"/>
        <v>#VALUE!</v>
      </c>
      <c r="D147" s="8" t="e">
        <f t="shared" si="29"/>
        <v>#VALUE!</v>
      </c>
      <c r="E147" s="3" t="e">
        <f t="shared" si="35"/>
        <v>#VALUE!</v>
      </c>
      <c r="F147" s="8" t="e">
        <f t="shared" si="30"/>
        <v>#VALUE!</v>
      </c>
      <c r="G147" s="3" t="e">
        <f t="shared" si="31"/>
        <v>#VALUE!</v>
      </c>
      <c r="H147" s="3">
        <v>286</v>
      </c>
      <c r="I147" s="8" t="e">
        <f t="shared" si="32"/>
        <v>#VALUE!</v>
      </c>
      <c r="J147" s="3">
        <v>112109</v>
      </c>
      <c r="K147" s="3" t="e">
        <f t="shared" si="33"/>
        <v>#VALUE!</v>
      </c>
      <c r="L147" s="8" t="e">
        <f t="shared" si="36"/>
        <v>#VALUE!</v>
      </c>
      <c r="M147" s="8" t="e">
        <f t="shared" si="37"/>
        <v>#VALUE!</v>
      </c>
      <c r="N147" s="3" t="e">
        <f t="shared" si="38"/>
        <v>#VALUE!</v>
      </c>
      <c r="O147" s="3" t="e">
        <f t="shared" si="39"/>
        <v>#VALUE!</v>
      </c>
      <c r="P147" s="3">
        <v>841</v>
      </c>
      <c r="Q147" s="3">
        <v>202966</v>
      </c>
      <c r="R147" s="3">
        <v>2</v>
      </c>
      <c r="T147" t="e">
        <f t="shared" si="41"/>
        <v>#VALUE!</v>
      </c>
      <c r="U147" t="e">
        <f t="shared" si="40"/>
        <v>#VALUE!</v>
      </c>
    </row>
    <row r="148" spans="1:21" x14ac:dyDescent="0.35">
      <c r="A148" s="1">
        <v>147</v>
      </c>
      <c r="B148" s="8">
        <v>147</v>
      </c>
      <c r="C148" s="3" t="e">
        <f t="shared" si="34"/>
        <v>#VALUE!</v>
      </c>
      <c r="D148" s="8" t="e">
        <f t="shared" si="29"/>
        <v>#VALUE!</v>
      </c>
      <c r="E148" s="3" t="e">
        <f t="shared" si="35"/>
        <v>#VALUE!</v>
      </c>
      <c r="F148" s="8" t="e">
        <f t="shared" si="30"/>
        <v>#VALUE!</v>
      </c>
      <c r="G148" s="3" t="e">
        <f t="shared" si="31"/>
        <v>#VALUE!</v>
      </c>
      <c r="H148" s="3">
        <v>616</v>
      </c>
      <c r="I148" s="8" t="e">
        <f t="shared" si="32"/>
        <v>#VALUE!</v>
      </c>
      <c r="J148" s="3">
        <v>324433</v>
      </c>
      <c r="K148" s="3" t="e">
        <f t="shared" si="33"/>
        <v>#VALUE!</v>
      </c>
      <c r="L148" s="8" t="e">
        <f t="shared" si="36"/>
        <v>#VALUE!</v>
      </c>
      <c r="M148" s="8" t="e">
        <f t="shared" si="37"/>
        <v>#VALUE!</v>
      </c>
      <c r="N148" s="3" t="e">
        <f t="shared" si="38"/>
        <v>#VALUE!</v>
      </c>
      <c r="O148" s="3" t="e">
        <f t="shared" si="39"/>
        <v>#VALUE!</v>
      </c>
      <c r="P148" s="3">
        <v>616</v>
      </c>
      <c r="Q148" s="3">
        <v>324433</v>
      </c>
      <c r="R148" s="3">
        <v>3</v>
      </c>
      <c r="T148" t="e">
        <f t="shared" si="41"/>
        <v>#VALUE!</v>
      </c>
      <c r="U148" t="e">
        <f t="shared" si="40"/>
        <v>#VALUE!</v>
      </c>
    </row>
    <row r="149" spans="1:21" x14ac:dyDescent="0.35">
      <c r="A149" s="1">
        <v>148</v>
      </c>
      <c r="B149" s="8">
        <v>169</v>
      </c>
      <c r="C149" s="3" t="e">
        <f t="shared" si="34"/>
        <v>#VALUE!</v>
      </c>
      <c r="D149" s="8" t="e">
        <f t="shared" si="29"/>
        <v>#VALUE!</v>
      </c>
      <c r="E149" s="3" t="e">
        <f t="shared" si="35"/>
        <v>#VALUE!</v>
      </c>
      <c r="F149" s="8" t="e">
        <f t="shared" si="30"/>
        <v>#VALUE!</v>
      </c>
      <c r="G149" s="3" t="e">
        <f t="shared" si="31"/>
        <v>#VALUE!</v>
      </c>
      <c r="H149" s="3">
        <v>678</v>
      </c>
      <c r="I149" s="8" t="e">
        <f t="shared" si="32"/>
        <v>#VALUE!</v>
      </c>
      <c r="J149" s="3">
        <v>213642</v>
      </c>
      <c r="K149" s="3" t="e">
        <f t="shared" si="33"/>
        <v>#VALUE!</v>
      </c>
      <c r="L149" s="8" t="e">
        <f t="shared" si="36"/>
        <v>#VALUE!</v>
      </c>
      <c r="M149" s="8" t="e">
        <f t="shared" si="37"/>
        <v>#VALUE!</v>
      </c>
      <c r="N149" s="3" t="e">
        <f t="shared" si="38"/>
        <v>#VALUE!</v>
      </c>
      <c r="O149" s="3" t="e">
        <f t="shared" si="39"/>
        <v>#VALUE!</v>
      </c>
      <c r="P149" s="3">
        <v>909</v>
      </c>
      <c r="Q149" s="3">
        <v>101421</v>
      </c>
      <c r="R149" s="3">
        <v>3</v>
      </c>
      <c r="T149" t="e">
        <f t="shared" si="41"/>
        <v>#VALUE!</v>
      </c>
      <c r="U149" t="e">
        <f t="shared" si="40"/>
        <v>#VALUE!</v>
      </c>
    </row>
    <row r="150" spans="1:21" x14ac:dyDescent="0.35">
      <c r="A150" s="1">
        <v>149</v>
      </c>
      <c r="B150" s="8">
        <v>135</v>
      </c>
      <c r="C150" s="3" t="e">
        <f t="shared" si="34"/>
        <v>#VALUE!</v>
      </c>
      <c r="D150" s="8" t="e">
        <f t="shared" si="29"/>
        <v>#VALUE!</v>
      </c>
      <c r="E150" s="3" t="e">
        <f t="shared" si="35"/>
        <v>#VALUE!</v>
      </c>
      <c r="F150" s="8" t="e">
        <f t="shared" si="30"/>
        <v>#VALUE!</v>
      </c>
      <c r="G150" s="3" t="e">
        <f t="shared" si="31"/>
        <v>#VALUE!</v>
      </c>
      <c r="H150" s="3">
        <v>141</v>
      </c>
      <c r="I150" s="8" t="e">
        <f t="shared" si="32"/>
        <v>#VALUE!</v>
      </c>
      <c r="J150" s="3">
        <v>254252</v>
      </c>
      <c r="K150" s="3" t="e">
        <f t="shared" si="33"/>
        <v>#VALUE!</v>
      </c>
      <c r="L150" s="8" t="e">
        <f t="shared" si="36"/>
        <v>#VALUE!</v>
      </c>
      <c r="M150" s="8" t="e">
        <f t="shared" si="37"/>
        <v>#VALUE!</v>
      </c>
      <c r="N150" s="3" t="e">
        <f t="shared" si="38"/>
        <v>#VALUE!</v>
      </c>
      <c r="O150" s="3" t="e">
        <f t="shared" si="39"/>
        <v>#VALUE!</v>
      </c>
      <c r="P150" s="3">
        <v>803</v>
      </c>
      <c r="Q150" s="3">
        <v>280926</v>
      </c>
      <c r="R150" s="3">
        <v>3</v>
      </c>
      <c r="T150" t="e">
        <f t="shared" si="41"/>
        <v>#VALUE!</v>
      </c>
      <c r="U150" t="e">
        <f t="shared" si="40"/>
        <v>#VALUE!</v>
      </c>
    </row>
    <row r="151" spans="1:21" x14ac:dyDescent="0.35">
      <c r="A151" s="1">
        <v>150</v>
      </c>
      <c r="B151" s="8">
        <v>187</v>
      </c>
      <c r="C151" s="3" t="e">
        <f t="shared" si="34"/>
        <v>#VALUE!</v>
      </c>
      <c r="D151" s="8" t="e">
        <f t="shared" si="29"/>
        <v>#VALUE!</v>
      </c>
      <c r="E151" s="3" t="e">
        <f t="shared" si="35"/>
        <v>#VALUE!</v>
      </c>
      <c r="F151" s="8" t="e">
        <f t="shared" si="30"/>
        <v>#VALUE!</v>
      </c>
      <c r="G151" s="3" t="e">
        <f t="shared" si="31"/>
        <v>#VALUE!</v>
      </c>
      <c r="H151" s="3">
        <v>753</v>
      </c>
      <c r="I151" s="8" t="e">
        <f t="shared" si="32"/>
        <v>#VALUE!</v>
      </c>
      <c r="J151" s="3">
        <v>119697</v>
      </c>
      <c r="K151" s="3" t="e">
        <f t="shared" si="33"/>
        <v>#VALUE!</v>
      </c>
      <c r="L151" s="8" t="e">
        <f t="shared" si="36"/>
        <v>#VALUE!</v>
      </c>
      <c r="M151" s="8" t="e">
        <f t="shared" si="37"/>
        <v>#VALUE!</v>
      </c>
      <c r="N151" s="3" t="e">
        <f t="shared" si="38"/>
        <v>#VALUE!</v>
      </c>
      <c r="O151" s="3" t="e">
        <f t="shared" si="39"/>
        <v>#VALUE!</v>
      </c>
      <c r="P151" s="3">
        <v>629</v>
      </c>
      <c r="Q151" s="3">
        <v>192798</v>
      </c>
      <c r="R151" s="3">
        <v>3</v>
      </c>
      <c r="T151" t="e">
        <f t="shared" si="41"/>
        <v>#VALUE!</v>
      </c>
      <c r="U151" t="e">
        <f t="shared" si="40"/>
        <v>#VALUE!</v>
      </c>
    </row>
    <row r="152" spans="1:21" x14ac:dyDescent="0.35">
      <c r="A152" s="1">
        <v>151</v>
      </c>
      <c r="B152" s="8">
        <v>100</v>
      </c>
      <c r="C152" s="3" t="e">
        <f t="shared" si="34"/>
        <v>#VALUE!</v>
      </c>
      <c r="D152" s="8" t="e">
        <f t="shared" si="29"/>
        <v>#VALUE!</v>
      </c>
      <c r="E152" s="3" t="e">
        <f t="shared" si="35"/>
        <v>#VALUE!</v>
      </c>
      <c r="F152" s="8" t="e">
        <f t="shared" si="30"/>
        <v>#VALUE!</v>
      </c>
      <c r="G152" s="3" t="e">
        <f t="shared" si="31"/>
        <v>#VALUE!</v>
      </c>
      <c r="H152" s="3">
        <v>391</v>
      </c>
      <c r="I152" s="8" t="e">
        <f t="shared" si="32"/>
        <v>#VALUE!</v>
      </c>
      <c r="J152" s="3">
        <v>197210</v>
      </c>
      <c r="K152" s="3" t="e">
        <f t="shared" si="33"/>
        <v>#VALUE!</v>
      </c>
      <c r="L152" s="8" t="e">
        <f t="shared" si="36"/>
        <v>#VALUE!</v>
      </c>
      <c r="M152" s="8" t="e">
        <f t="shared" si="37"/>
        <v>#VALUE!</v>
      </c>
      <c r="N152" s="3" t="e">
        <f t="shared" si="38"/>
        <v>#VALUE!</v>
      </c>
      <c r="O152" s="3" t="e">
        <f t="shared" si="39"/>
        <v>#VALUE!</v>
      </c>
      <c r="P152" s="3">
        <v>347</v>
      </c>
      <c r="Q152" s="3">
        <v>178050</v>
      </c>
      <c r="R152" s="3">
        <v>4</v>
      </c>
      <c r="T152" t="e">
        <f t="shared" si="41"/>
        <v>#VALUE!</v>
      </c>
      <c r="U152" t="e">
        <f t="shared" si="40"/>
        <v>#VALUE!</v>
      </c>
    </row>
    <row r="153" spans="1:21" x14ac:dyDescent="0.35">
      <c r="A153" s="1">
        <v>152</v>
      </c>
      <c r="B153" s="8">
        <v>232</v>
      </c>
      <c r="C153" s="3" t="e">
        <f t="shared" si="34"/>
        <v>#VALUE!</v>
      </c>
      <c r="D153" s="8" t="e">
        <f t="shared" si="29"/>
        <v>#VALUE!</v>
      </c>
      <c r="E153" s="3" t="e">
        <f t="shared" si="35"/>
        <v>#VALUE!</v>
      </c>
      <c r="F153" s="8" t="e">
        <f t="shared" si="30"/>
        <v>#VALUE!</v>
      </c>
      <c r="G153" s="3" t="e">
        <f t="shared" si="31"/>
        <v>#VALUE!</v>
      </c>
      <c r="H153" s="3">
        <v>875</v>
      </c>
      <c r="I153" s="8" t="e">
        <f t="shared" si="32"/>
        <v>#VALUE!</v>
      </c>
      <c r="J153" s="3">
        <v>198023</v>
      </c>
      <c r="K153" s="3" t="e">
        <f t="shared" si="33"/>
        <v>#VALUE!</v>
      </c>
      <c r="L153" s="8" t="e">
        <f t="shared" si="36"/>
        <v>#VALUE!</v>
      </c>
      <c r="M153" s="8" t="e">
        <f t="shared" si="37"/>
        <v>#VALUE!</v>
      </c>
      <c r="N153" s="3" t="e">
        <f t="shared" si="38"/>
        <v>#VALUE!</v>
      </c>
      <c r="O153" s="3" t="e">
        <f t="shared" si="39"/>
        <v>#VALUE!</v>
      </c>
      <c r="P153" s="3">
        <v>729</v>
      </c>
      <c r="Q153" s="3">
        <v>242831</v>
      </c>
      <c r="R153" s="3">
        <v>3</v>
      </c>
      <c r="T153" t="e">
        <f t="shared" si="41"/>
        <v>#VALUE!</v>
      </c>
      <c r="U153" t="e">
        <f t="shared" si="40"/>
        <v>#VALUE!</v>
      </c>
    </row>
    <row r="154" spans="1:21" x14ac:dyDescent="0.35">
      <c r="A154" s="1">
        <v>153</v>
      </c>
      <c r="B154" s="8">
        <v>256</v>
      </c>
      <c r="C154" s="3" t="e">
        <f t="shared" si="34"/>
        <v>#VALUE!</v>
      </c>
      <c r="D154" s="8" t="e">
        <f t="shared" si="29"/>
        <v>#VALUE!</v>
      </c>
      <c r="E154" s="3" t="e">
        <f t="shared" si="35"/>
        <v>#VALUE!</v>
      </c>
      <c r="F154" s="8" t="e">
        <f t="shared" si="30"/>
        <v>#VALUE!</v>
      </c>
      <c r="G154" s="3" t="e">
        <f t="shared" si="31"/>
        <v>#VALUE!</v>
      </c>
      <c r="H154" s="3">
        <v>579</v>
      </c>
      <c r="I154" s="8" t="e">
        <f t="shared" si="32"/>
        <v>#VALUE!</v>
      </c>
      <c r="J154" s="3">
        <v>168445</v>
      </c>
      <c r="K154" s="3" t="e">
        <f t="shared" si="33"/>
        <v>#VALUE!</v>
      </c>
      <c r="L154" s="8" t="e">
        <f t="shared" si="36"/>
        <v>#VALUE!</v>
      </c>
      <c r="M154" s="8" t="e">
        <f t="shared" si="37"/>
        <v>#VALUE!</v>
      </c>
      <c r="N154" s="3" t="e">
        <f t="shared" si="38"/>
        <v>#VALUE!</v>
      </c>
      <c r="O154" s="3" t="e">
        <f t="shared" si="39"/>
        <v>#VALUE!</v>
      </c>
      <c r="P154" s="3">
        <v>660</v>
      </c>
      <c r="Q154" s="3">
        <v>168094</v>
      </c>
      <c r="R154" s="3">
        <v>3</v>
      </c>
      <c r="T154" t="e">
        <f t="shared" si="41"/>
        <v>#VALUE!</v>
      </c>
      <c r="U154" t="e">
        <f t="shared" si="40"/>
        <v>#VALUE!</v>
      </c>
    </row>
    <row r="155" spans="1:21" x14ac:dyDescent="0.35">
      <c r="A155" s="1">
        <v>154</v>
      </c>
      <c r="B155" s="8">
        <v>188</v>
      </c>
      <c r="C155" s="3" t="e">
        <f t="shared" si="34"/>
        <v>#VALUE!</v>
      </c>
      <c r="D155" s="8" t="e">
        <f t="shared" si="29"/>
        <v>#VALUE!</v>
      </c>
      <c r="E155" s="3" t="e">
        <f t="shared" si="35"/>
        <v>#VALUE!</v>
      </c>
      <c r="F155" s="8" t="e">
        <f t="shared" si="30"/>
        <v>#VALUE!</v>
      </c>
      <c r="G155" s="3" t="e">
        <f t="shared" si="31"/>
        <v>#VALUE!</v>
      </c>
      <c r="H155" s="3">
        <v>580</v>
      </c>
      <c r="I155" s="8" t="e">
        <f t="shared" si="32"/>
        <v>#VALUE!</v>
      </c>
      <c r="J155" s="3">
        <v>138186</v>
      </c>
      <c r="K155" s="3" t="e">
        <f t="shared" si="33"/>
        <v>#VALUE!</v>
      </c>
      <c r="L155" s="8" t="e">
        <f t="shared" si="36"/>
        <v>#VALUE!</v>
      </c>
      <c r="M155" s="8" t="e">
        <f t="shared" si="37"/>
        <v>#VALUE!</v>
      </c>
      <c r="N155" s="3" t="e">
        <f t="shared" si="38"/>
        <v>#VALUE!</v>
      </c>
      <c r="O155" s="3" t="e">
        <f t="shared" si="39"/>
        <v>#VALUE!</v>
      </c>
      <c r="P155" s="3">
        <v>636</v>
      </c>
      <c r="Q155" s="3">
        <v>210735</v>
      </c>
      <c r="R155" s="3">
        <v>3</v>
      </c>
      <c r="T155" t="e">
        <f t="shared" si="41"/>
        <v>#VALUE!</v>
      </c>
      <c r="U155" t="e">
        <f t="shared" si="40"/>
        <v>#VALUE!</v>
      </c>
    </row>
    <row r="156" spans="1:21" x14ac:dyDescent="0.35">
      <c r="A156" s="1">
        <v>155</v>
      </c>
      <c r="B156" s="8">
        <v>211</v>
      </c>
      <c r="C156" s="3" t="e">
        <f t="shared" si="34"/>
        <v>#VALUE!</v>
      </c>
      <c r="D156" s="8" t="e">
        <f t="shared" si="29"/>
        <v>#VALUE!</v>
      </c>
      <c r="E156" s="3" t="e">
        <f t="shared" si="35"/>
        <v>#VALUE!</v>
      </c>
      <c r="F156" s="8" t="e">
        <f t="shared" si="30"/>
        <v>#VALUE!</v>
      </c>
      <c r="G156" s="3" t="e">
        <f t="shared" si="31"/>
        <v>#VALUE!</v>
      </c>
      <c r="H156" s="3">
        <v>496</v>
      </c>
      <c r="I156" s="8" t="e">
        <f t="shared" si="32"/>
        <v>#VALUE!</v>
      </c>
      <c r="J156" s="3">
        <v>218800</v>
      </c>
      <c r="K156" s="3" t="e">
        <f t="shared" si="33"/>
        <v>#VALUE!</v>
      </c>
      <c r="L156" s="8" t="e">
        <f t="shared" si="36"/>
        <v>#VALUE!</v>
      </c>
      <c r="M156" s="8" t="e">
        <f t="shared" si="37"/>
        <v>#VALUE!</v>
      </c>
      <c r="N156" s="3" t="e">
        <f t="shared" si="38"/>
        <v>#VALUE!</v>
      </c>
      <c r="O156" s="3" t="e">
        <f t="shared" si="39"/>
        <v>#VALUE!</v>
      </c>
      <c r="P156" s="3">
        <v>656</v>
      </c>
      <c r="Q156" s="3">
        <v>127400</v>
      </c>
      <c r="R156" s="3">
        <v>3</v>
      </c>
      <c r="T156" t="e">
        <f t="shared" si="41"/>
        <v>#VALUE!</v>
      </c>
      <c r="U156" t="e">
        <f t="shared" si="40"/>
        <v>#VALUE!</v>
      </c>
    </row>
    <row r="157" spans="1:21" x14ac:dyDescent="0.35">
      <c r="A157" s="1">
        <v>156</v>
      </c>
      <c r="B157" s="8">
        <v>242</v>
      </c>
      <c r="C157" s="3" t="e">
        <f t="shared" si="34"/>
        <v>#VALUE!</v>
      </c>
      <c r="D157" s="8" t="e">
        <f t="shared" si="29"/>
        <v>#VALUE!</v>
      </c>
      <c r="E157" s="3" t="e">
        <f t="shared" si="35"/>
        <v>#VALUE!</v>
      </c>
      <c r="F157" s="8" t="e">
        <f t="shared" si="30"/>
        <v>#VALUE!</v>
      </c>
      <c r="G157" s="3" t="e">
        <f t="shared" si="31"/>
        <v>#VALUE!</v>
      </c>
      <c r="H157" s="3">
        <v>768</v>
      </c>
      <c r="I157" s="8" t="e">
        <f t="shared" si="32"/>
        <v>#VALUE!</v>
      </c>
      <c r="J157" s="3">
        <v>174501</v>
      </c>
      <c r="K157" s="3" t="e">
        <f t="shared" si="33"/>
        <v>#VALUE!</v>
      </c>
      <c r="L157" s="8" t="e">
        <f t="shared" si="36"/>
        <v>#VALUE!</v>
      </c>
      <c r="M157" s="8" t="e">
        <f t="shared" si="37"/>
        <v>#VALUE!</v>
      </c>
      <c r="N157" s="3" t="e">
        <f t="shared" si="38"/>
        <v>#VALUE!</v>
      </c>
      <c r="O157" s="3" t="e">
        <f t="shared" si="39"/>
        <v>#VALUE!</v>
      </c>
      <c r="P157" s="3">
        <v>610</v>
      </c>
      <c r="Q157" s="3">
        <v>261776</v>
      </c>
      <c r="R157" s="3">
        <v>3</v>
      </c>
      <c r="T157" t="e">
        <f t="shared" si="41"/>
        <v>#VALUE!</v>
      </c>
      <c r="U157" t="e">
        <f t="shared" si="40"/>
        <v>#VALUE!</v>
      </c>
    </row>
    <row r="158" spans="1:21" x14ac:dyDescent="0.35">
      <c r="A158" s="1">
        <v>157</v>
      </c>
      <c r="B158" s="8">
        <v>219</v>
      </c>
      <c r="C158" s="3" t="e">
        <f t="shared" si="34"/>
        <v>#VALUE!</v>
      </c>
      <c r="D158" s="8" t="e">
        <f t="shared" si="29"/>
        <v>#VALUE!</v>
      </c>
      <c r="E158" s="3" t="e">
        <f t="shared" si="35"/>
        <v>#VALUE!</v>
      </c>
      <c r="F158" s="8" t="e">
        <f t="shared" si="30"/>
        <v>#VALUE!</v>
      </c>
      <c r="G158" s="3" t="e">
        <f t="shared" si="31"/>
        <v>#VALUE!</v>
      </c>
      <c r="H158" s="3">
        <v>657</v>
      </c>
      <c r="I158" s="8" t="e">
        <f t="shared" si="32"/>
        <v>#VALUE!</v>
      </c>
      <c r="J158" s="3">
        <v>209295</v>
      </c>
      <c r="K158" s="3" t="e">
        <f t="shared" si="33"/>
        <v>#VALUE!</v>
      </c>
      <c r="L158" s="8" t="e">
        <f t="shared" si="36"/>
        <v>#VALUE!</v>
      </c>
      <c r="M158" s="8" t="e">
        <f t="shared" si="37"/>
        <v>#VALUE!</v>
      </c>
      <c r="N158" s="3" t="e">
        <f t="shared" si="38"/>
        <v>#VALUE!</v>
      </c>
      <c r="O158" s="3" t="e">
        <f t="shared" si="39"/>
        <v>#VALUE!</v>
      </c>
      <c r="P158" s="3">
        <v>802</v>
      </c>
      <c r="Q158" s="3">
        <v>150802</v>
      </c>
      <c r="R158" s="3">
        <v>3</v>
      </c>
      <c r="T158" t="e">
        <f t="shared" si="41"/>
        <v>#VALUE!</v>
      </c>
      <c r="U158" t="e">
        <f t="shared" si="40"/>
        <v>#VALUE!</v>
      </c>
    </row>
    <row r="159" spans="1:21" x14ac:dyDescent="0.35">
      <c r="A159" s="1">
        <v>158</v>
      </c>
      <c r="B159" s="8">
        <v>240</v>
      </c>
      <c r="C159" s="3" t="e">
        <f t="shared" si="34"/>
        <v>#VALUE!</v>
      </c>
      <c r="D159" s="8" t="e">
        <f t="shared" si="29"/>
        <v>#VALUE!</v>
      </c>
      <c r="E159" s="3" t="e">
        <f t="shared" si="35"/>
        <v>#VALUE!</v>
      </c>
      <c r="F159" s="8" t="e">
        <f t="shared" si="30"/>
        <v>#VALUE!</v>
      </c>
      <c r="G159" s="3" t="e">
        <f t="shared" si="31"/>
        <v>#VALUE!</v>
      </c>
      <c r="H159" s="3">
        <v>725</v>
      </c>
      <c r="I159" s="8" t="e">
        <f t="shared" si="32"/>
        <v>#VALUE!</v>
      </c>
      <c r="J159" s="3">
        <v>256618</v>
      </c>
      <c r="K159" s="3" t="e">
        <f t="shared" si="33"/>
        <v>#VALUE!</v>
      </c>
      <c r="L159" s="8" t="e">
        <f t="shared" si="36"/>
        <v>#VALUE!</v>
      </c>
      <c r="M159" s="8" t="e">
        <f t="shared" si="37"/>
        <v>#VALUE!</v>
      </c>
      <c r="N159" s="3" t="e">
        <f t="shared" si="38"/>
        <v>#VALUE!</v>
      </c>
      <c r="O159" s="3" t="e">
        <f t="shared" si="39"/>
        <v>#VALUE!</v>
      </c>
      <c r="P159" s="3">
        <v>467</v>
      </c>
      <c r="Q159" s="3">
        <v>229214</v>
      </c>
      <c r="R159" s="3">
        <v>4</v>
      </c>
      <c r="T159" t="e">
        <f t="shared" si="41"/>
        <v>#VALUE!</v>
      </c>
      <c r="U159" t="e">
        <f t="shared" si="40"/>
        <v>#VALUE!</v>
      </c>
    </row>
    <row r="160" spans="1:21" x14ac:dyDescent="0.35">
      <c r="A160" s="1">
        <v>159</v>
      </c>
      <c r="B160" s="8">
        <v>138</v>
      </c>
      <c r="C160" s="3" t="e">
        <f t="shared" si="34"/>
        <v>#VALUE!</v>
      </c>
      <c r="D160" s="8" t="e">
        <f t="shared" si="29"/>
        <v>#VALUE!</v>
      </c>
      <c r="E160" s="3" t="e">
        <f t="shared" si="35"/>
        <v>#VALUE!</v>
      </c>
      <c r="F160" s="8" t="e">
        <f t="shared" si="30"/>
        <v>#VALUE!</v>
      </c>
      <c r="G160" s="3" t="e">
        <f t="shared" si="31"/>
        <v>#VALUE!</v>
      </c>
      <c r="H160" s="3">
        <v>292</v>
      </c>
      <c r="I160" s="8" t="e">
        <f t="shared" si="32"/>
        <v>#VALUE!</v>
      </c>
      <c r="J160" s="3">
        <v>282933</v>
      </c>
      <c r="K160" s="3" t="e">
        <f t="shared" si="33"/>
        <v>#VALUE!</v>
      </c>
      <c r="L160" s="8" t="e">
        <f t="shared" si="36"/>
        <v>#VALUE!</v>
      </c>
      <c r="M160" s="8" t="e">
        <f t="shared" si="37"/>
        <v>#VALUE!</v>
      </c>
      <c r="N160" s="3" t="e">
        <f t="shared" si="38"/>
        <v>#VALUE!</v>
      </c>
      <c r="O160" s="3" t="e">
        <f t="shared" si="39"/>
        <v>#VALUE!</v>
      </c>
      <c r="P160" s="3">
        <v>762</v>
      </c>
      <c r="Q160" s="3">
        <v>203007</v>
      </c>
      <c r="R160" s="3">
        <v>2</v>
      </c>
      <c r="T160" t="e">
        <f t="shared" si="41"/>
        <v>#VALUE!</v>
      </c>
      <c r="U160" t="e">
        <f t="shared" si="40"/>
        <v>#VALUE!</v>
      </c>
    </row>
    <row r="161" spans="1:21" x14ac:dyDescent="0.35">
      <c r="A161" s="1">
        <v>160</v>
      </c>
      <c r="B161" s="8">
        <v>266</v>
      </c>
      <c r="C161" s="3" t="e">
        <f t="shared" si="34"/>
        <v>#VALUE!</v>
      </c>
      <c r="D161" s="8" t="e">
        <f t="shared" si="29"/>
        <v>#VALUE!</v>
      </c>
      <c r="E161" s="3" t="e">
        <f t="shared" si="35"/>
        <v>#VALUE!</v>
      </c>
      <c r="F161" s="8" t="e">
        <f t="shared" si="30"/>
        <v>#VALUE!</v>
      </c>
      <c r="G161" s="3" t="e">
        <f t="shared" si="31"/>
        <v>#VALUE!</v>
      </c>
      <c r="H161" s="3">
        <v>681</v>
      </c>
      <c r="I161" s="8" t="e">
        <f t="shared" si="32"/>
        <v>#VALUE!</v>
      </c>
      <c r="J161" s="3">
        <v>120607</v>
      </c>
      <c r="K161" s="3" t="e">
        <f t="shared" si="33"/>
        <v>#VALUE!</v>
      </c>
      <c r="L161" s="8" t="e">
        <f t="shared" si="36"/>
        <v>#VALUE!</v>
      </c>
      <c r="M161" s="8" t="e">
        <f t="shared" si="37"/>
        <v>#VALUE!</v>
      </c>
      <c r="N161" s="3" t="e">
        <f t="shared" si="38"/>
        <v>#VALUE!</v>
      </c>
      <c r="O161" s="3" t="e">
        <f t="shared" si="39"/>
        <v>#VALUE!</v>
      </c>
      <c r="P161" s="3">
        <v>697</v>
      </c>
      <c r="Q161" s="3">
        <v>200868</v>
      </c>
      <c r="R161" s="3">
        <v>4</v>
      </c>
      <c r="T161" t="e">
        <f t="shared" si="41"/>
        <v>#VALUE!</v>
      </c>
      <c r="U161" t="e">
        <f t="shared" si="40"/>
        <v>#VALUE!</v>
      </c>
    </row>
    <row r="162" spans="1:21" x14ac:dyDescent="0.35">
      <c r="A162" s="1">
        <v>161</v>
      </c>
      <c r="B162" s="8">
        <v>118</v>
      </c>
      <c r="C162" s="3" t="e">
        <f t="shared" si="34"/>
        <v>#VALUE!</v>
      </c>
      <c r="D162" s="8" t="e">
        <f t="shared" si="29"/>
        <v>#VALUE!</v>
      </c>
      <c r="E162" s="3" t="e">
        <f t="shared" si="35"/>
        <v>#VALUE!</v>
      </c>
      <c r="F162" s="8" t="e">
        <f t="shared" si="30"/>
        <v>#VALUE!</v>
      </c>
      <c r="G162" s="3" t="e">
        <f t="shared" si="31"/>
        <v>#VALUE!</v>
      </c>
      <c r="H162" s="3">
        <v>228</v>
      </c>
      <c r="I162" s="8" t="e">
        <f t="shared" si="32"/>
        <v>#VALUE!</v>
      </c>
      <c r="J162" s="3">
        <v>182092</v>
      </c>
      <c r="K162" s="3" t="e">
        <f t="shared" si="33"/>
        <v>#VALUE!</v>
      </c>
      <c r="L162" s="8" t="e">
        <f t="shared" si="36"/>
        <v>#VALUE!</v>
      </c>
      <c r="M162" s="8" t="e">
        <f t="shared" si="37"/>
        <v>#VALUE!</v>
      </c>
      <c r="N162" s="3" t="e">
        <f t="shared" si="38"/>
        <v>#VALUE!</v>
      </c>
      <c r="O162" s="3" t="e">
        <f t="shared" si="39"/>
        <v>#VALUE!</v>
      </c>
      <c r="P162" s="3">
        <v>812</v>
      </c>
      <c r="Q162" s="3">
        <v>256483</v>
      </c>
      <c r="R162" s="3">
        <v>3</v>
      </c>
      <c r="T162" t="e">
        <f t="shared" si="41"/>
        <v>#VALUE!</v>
      </c>
      <c r="U162" t="e">
        <f t="shared" si="40"/>
        <v>#VALUE!</v>
      </c>
    </row>
    <row r="163" spans="1:21" x14ac:dyDescent="0.35">
      <c r="A163" s="1">
        <v>162</v>
      </c>
      <c r="B163" s="8">
        <v>176</v>
      </c>
      <c r="C163" s="3" t="e">
        <f t="shared" si="34"/>
        <v>#VALUE!</v>
      </c>
      <c r="D163" s="8" t="e">
        <f t="shared" si="29"/>
        <v>#VALUE!</v>
      </c>
      <c r="E163" s="3" t="e">
        <f t="shared" si="35"/>
        <v>#VALUE!</v>
      </c>
      <c r="F163" s="8" t="e">
        <f t="shared" si="30"/>
        <v>#VALUE!</v>
      </c>
      <c r="G163" s="3" t="e">
        <f t="shared" si="31"/>
        <v>#VALUE!</v>
      </c>
      <c r="H163" s="3">
        <v>809</v>
      </c>
      <c r="I163" s="8" t="e">
        <f t="shared" si="32"/>
        <v>#VALUE!</v>
      </c>
      <c r="J163" s="3">
        <v>280096</v>
      </c>
      <c r="K163" s="3" t="e">
        <f t="shared" si="33"/>
        <v>#VALUE!</v>
      </c>
      <c r="L163" s="8" t="e">
        <f t="shared" si="36"/>
        <v>#VALUE!</v>
      </c>
      <c r="M163" s="8" t="e">
        <f t="shared" si="37"/>
        <v>#VALUE!</v>
      </c>
      <c r="N163" s="3" t="e">
        <f t="shared" si="38"/>
        <v>#VALUE!</v>
      </c>
      <c r="O163" s="3" t="e">
        <f t="shared" si="39"/>
        <v>#VALUE!</v>
      </c>
      <c r="P163" s="3">
        <v>474</v>
      </c>
      <c r="Q163" s="3">
        <v>128589</v>
      </c>
      <c r="R163" s="3">
        <v>3</v>
      </c>
      <c r="T163" t="e">
        <f t="shared" si="41"/>
        <v>#VALUE!</v>
      </c>
      <c r="U163" t="e">
        <f t="shared" si="40"/>
        <v>#VALUE!</v>
      </c>
    </row>
    <row r="164" spans="1:21" x14ac:dyDescent="0.35">
      <c r="A164" s="1">
        <v>163</v>
      </c>
      <c r="B164" s="8">
        <v>226</v>
      </c>
      <c r="C164" s="3" t="e">
        <f t="shared" si="34"/>
        <v>#VALUE!</v>
      </c>
      <c r="D164" s="8" t="e">
        <f t="shared" si="29"/>
        <v>#VALUE!</v>
      </c>
      <c r="E164" s="3" t="e">
        <f t="shared" si="35"/>
        <v>#VALUE!</v>
      </c>
      <c r="F164" s="8" t="e">
        <f t="shared" si="30"/>
        <v>#VALUE!</v>
      </c>
      <c r="G164" s="3" t="e">
        <f t="shared" si="31"/>
        <v>#VALUE!</v>
      </c>
      <c r="H164" s="3">
        <v>788</v>
      </c>
      <c r="I164" s="8" t="e">
        <f t="shared" si="32"/>
        <v>#VALUE!</v>
      </c>
      <c r="J164" s="3">
        <v>323226</v>
      </c>
      <c r="K164" s="3" t="e">
        <f t="shared" si="33"/>
        <v>#VALUE!</v>
      </c>
      <c r="L164" s="8" t="e">
        <f t="shared" si="36"/>
        <v>#VALUE!</v>
      </c>
      <c r="M164" s="8" t="e">
        <f t="shared" si="37"/>
        <v>#VALUE!</v>
      </c>
      <c r="N164" s="3" t="e">
        <f t="shared" si="38"/>
        <v>#VALUE!</v>
      </c>
      <c r="O164" s="3" t="e">
        <f t="shared" si="39"/>
        <v>#VALUE!</v>
      </c>
      <c r="P164" s="3">
        <v>709</v>
      </c>
      <c r="Q164" s="3">
        <v>242532</v>
      </c>
      <c r="R164" s="3">
        <v>2</v>
      </c>
      <c r="T164" t="e">
        <f t="shared" si="41"/>
        <v>#VALUE!</v>
      </c>
      <c r="U164" t="e">
        <f t="shared" si="40"/>
        <v>#VALUE!</v>
      </c>
    </row>
    <row r="165" spans="1:21" x14ac:dyDescent="0.35">
      <c r="A165" s="1">
        <v>164</v>
      </c>
      <c r="B165" s="8">
        <v>152</v>
      </c>
      <c r="C165" s="3" t="e">
        <f t="shared" si="34"/>
        <v>#VALUE!</v>
      </c>
      <c r="D165" s="8" t="e">
        <f t="shared" si="29"/>
        <v>#VALUE!</v>
      </c>
      <c r="E165" s="3" t="e">
        <f t="shared" si="35"/>
        <v>#VALUE!</v>
      </c>
      <c r="F165" s="8" t="e">
        <f t="shared" si="30"/>
        <v>#VALUE!</v>
      </c>
      <c r="G165" s="3" t="e">
        <f t="shared" si="31"/>
        <v>#VALUE!</v>
      </c>
      <c r="H165" s="3">
        <v>729</v>
      </c>
      <c r="I165" s="8" t="e">
        <f t="shared" si="32"/>
        <v>#VALUE!</v>
      </c>
      <c r="J165" s="3">
        <v>242831</v>
      </c>
      <c r="K165" s="3" t="e">
        <f t="shared" si="33"/>
        <v>#VALUE!</v>
      </c>
      <c r="L165" s="8" t="e">
        <f t="shared" si="36"/>
        <v>#VALUE!</v>
      </c>
      <c r="M165" s="8" t="e">
        <f t="shared" si="37"/>
        <v>#VALUE!</v>
      </c>
      <c r="N165" s="3" t="e">
        <f t="shared" si="38"/>
        <v>#VALUE!</v>
      </c>
      <c r="O165" s="3" t="e">
        <f t="shared" si="39"/>
        <v>#VALUE!</v>
      </c>
      <c r="P165" s="3">
        <v>560</v>
      </c>
      <c r="Q165" s="3">
        <v>182196</v>
      </c>
      <c r="R165" s="3">
        <v>3</v>
      </c>
      <c r="T165" t="e">
        <f t="shared" si="41"/>
        <v>#VALUE!</v>
      </c>
      <c r="U165" t="e">
        <f t="shared" si="40"/>
        <v>#VALUE!</v>
      </c>
    </row>
    <row r="166" spans="1:21" x14ac:dyDescent="0.35">
      <c r="A166" s="1">
        <v>165</v>
      </c>
      <c r="B166" s="8">
        <v>33</v>
      </c>
      <c r="C166" s="3" t="e">
        <f t="shared" si="34"/>
        <v>#VALUE!</v>
      </c>
      <c r="D166" s="8" t="e">
        <f t="shared" si="29"/>
        <v>#VALUE!</v>
      </c>
      <c r="E166" s="3" t="e">
        <f t="shared" si="35"/>
        <v>#VALUE!</v>
      </c>
      <c r="F166" s="8" t="e">
        <f t="shared" si="30"/>
        <v>#VALUE!</v>
      </c>
      <c r="G166" s="3" t="e">
        <f t="shared" si="31"/>
        <v>#VALUE!</v>
      </c>
      <c r="H166" s="3">
        <v>393</v>
      </c>
      <c r="I166" s="8" t="e">
        <f t="shared" si="32"/>
        <v>#VALUE!</v>
      </c>
      <c r="J166" s="3">
        <v>220604</v>
      </c>
      <c r="K166" s="3" t="e">
        <f t="shared" si="33"/>
        <v>#VALUE!</v>
      </c>
      <c r="L166" s="8" t="e">
        <f t="shared" si="36"/>
        <v>#VALUE!</v>
      </c>
      <c r="M166" s="8" t="e">
        <f t="shared" si="37"/>
        <v>#VALUE!</v>
      </c>
      <c r="N166" s="3" t="e">
        <f t="shared" si="38"/>
        <v>#VALUE!</v>
      </c>
      <c r="O166" s="3" t="e">
        <f t="shared" si="39"/>
        <v>#VALUE!</v>
      </c>
      <c r="P166" s="3">
        <v>602</v>
      </c>
      <c r="Q166" s="3">
        <v>154322</v>
      </c>
      <c r="R166" s="3">
        <v>4</v>
      </c>
      <c r="T166" t="e">
        <f t="shared" si="41"/>
        <v>#VALUE!</v>
      </c>
      <c r="U166" t="e">
        <f t="shared" si="40"/>
        <v>#VALUE!</v>
      </c>
    </row>
    <row r="167" spans="1:21" x14ac:dyDescent="0.35">
      <c r="A167" s="1">
        <v>166</v>
      </c>
      <c r="B167" s="8">
        <v>164</v>
      </c>
      <c r="C167" s="3" t="e">
        <f t="shared" si="34"/>
        <v>#VALUE!</v>
      </c>
      <c r="D167" s="8" t="e">
        <f t="shared" si="29"/>
        <v>#VALUE!</v>
      </c>
      <c r="E167" s="3" t="e">
        <f t="shared" si="35"/>
        <v>#VALUE!</v>
      </c>
      <c r="F167" s="8" t="e">
        <f t="shared" si="30"/>
        <v>#VALUE!</v>
      </c>
      <c r="G167" s="3" t="e">
        <f t="shared" si="31"/>
        <v>#VALUE!</v>
      </c>
      <c r="H167" s="3">
        <v>560</v>
      </c>
      <c r="I167" s="8" t="e">
        <f t="shared" si="32"/>
        <v>#VALUE!</v>
      </c>
      <c r="J167" s="3">
        <v>182196</v>
      </c>
      <c r="K167" s="3" t="e">
        <f t="shared" si="33"/>
        <v>#VALUE!</v>
      </c>
      <c r="L167" s="8" t="e">
        <f t="shared" si="36"/>
        <v>#VALUE!</v>
      </c>
      <c r="M167" s="8" t="e">
        <f t="shared" si="37"/>
        <v>#VALUE!</v>
      </c>
      <c r="N167" s="3" t="e">
        <f t="shared" si="38"/>
        <v>#VALUE!</v>
      </c>
      <c r="O167" s="3" t="e">
        <f t="shared" si="39"/>
        <v>#VALUE!</v>
      </c>
      <c r="P167" s="3">
        <v>751</v>
      </c>
      <c r="Q167" s="3">
        <v>208400</v>
      </c>
      <c r="R167" s="3">
        <v>3</v>
      </c>
      <c r="T167" t="e">
        <f t="shared" si="41"/>
        <v>#VALUE!</v>
      </c>
      <c r="U167" t="e">
        <f t="shared" si="40"/>
        <v>#VALUE!</v>
      </c>
    </row>
    <row r="168" spans="1:21" x14ac:dyDescent="0.35">
      <c r="A168" s="1">
        <v>167</v>
      </c>
      <c r="B168" s="8">
        <v>205</v>
      </c>
      <c r="C168" s="3" t="e">
        <f t="shared" si="34"/>
        <v>#VALUE!</v>
      </c>
      <c r="D168" s="8" t="e">
        <f t="shared" si="29"/>
        <v>#VALUE!</v>
      </c>
      <c r="E168" s="3" t="e">
        <f t="shared" si="35"/>
        <v>#VALUE!</v>
      </c>
      <c r="F168" s="8" t="e">
        <f t="shared" si="30"/>
        <v>#VALUE!</v>
      </c>
      <c r="G168" s="3" t="e">
        <f t="shared" si="31"/>
        <v>#VALUE!</v>
      </c>
      <c r="H168" s="3">
        <v>710</v>
      </c>
      <c r="I168" s="8" t="e">
        <f t="shared" si="32"/>
        <v>#VALUE!</v>
      </c>
      <c r="J168" s="3">
        <v>270810</v>
      </c>
      <c r="K168" s="3" t="e">
        <f t="shared" si="33"/>
        <v>#VALUE!</v>
      </c>
      <c r="L168" s="8" t="e">
        <f t="shared" si="36"/>
        <v>#VALUE!</v>
      </c>
      <c r="M168" s="8" t="e">
        <f t="shared" si="37"/>
        <v>#VALUE!</v>
      </c>
      <c r="N168" s="3" t="e">
        <f t="shared" si="38"/>
        <v>#VALUE!</v>
      </c>
      <c r="O168" s="3" t="e">
        <f t="shared" si="39"/>
        <v>#VALUE!</v>
      </c>
      <c r="P168" s="3">
        <v>830</v>
      </c>
      <c r="Q168" s="3">
        <v>163789</v>
      </c>
      <c r="R168" s="3">
        <v>4</v>
      </c>
      <c r="T168" t="e">
        <f t="shared" si="41"/>
        <v>#VALUE!</v>
      </c>
      <c r="U168" t="e">
        <f t="shared" si="40"/>
        <v>#VALUE!</v>
      </c>
    </row>
    <row r="169" spans="1:21" x14ac:dyDescent="0.35">
      <c r="A169" s="1">
        <v>168</v>
      </c>
      <c r="B169" s="8">
        <v>199</v>
      </c>
      <c r="C169" s="3" t="e">
        <f t="shared" si="34"/>
        <v>#VALUE!</v>
      </c>
      <c r="D169" s="8" t="e">
        <f t="shared" si="29"/>
        <v>#VALUE!</v>
      </c>
      <c r="E169" s="3" t="e">
        <f t="shared" si="35"/>
        <v>#VALUE!</v>
      </c>
      <c r="F169" s="8" t="e">
        <f t="shared" si="30"/>
        <v>#VALUE!</v>
      </c>
      <c r="G169" s="3" t="e">
        <f t="shared" si="31"/>
        <v>#VALUE!</v>
      </c>
      <c r="H169" s="3">
        <v>825</v>
      </c>
      <c r="I169" s="8" t="e">
        <f t="shared" si="32"/>
        <v>#VALUE!</v>
      </c>
      <c r="J169" s="3">
        <v>186525</v>
      </c>
      <c r="K169" s="3" t="e">
        <f t="shared" si="33"/>
        <v>#VALUE!</v>
      </c>
      <c r="L169" s="8" t="e">
        <f t="shared" si="36"/>
        <v>#VALUE!</v>
      </c>
      <c r="M169" s="8" t="e">
        <f t="shared" si="37"/>
        <v>#VALUE!</v>
      </c>
      <c r="N169" s="3" t="e">
        <f t="shared" si="38"/>
        <v>#VALUE!</v>
      </c>
      <c r="O169" s="3" t="e">
        <f t="shared" si="39"/>
        <v>#VALUE!</v>
      </c>
      <c r="P169" s="3">
        <v>686</v>
      </c>
      <c r="Q169" s="3">
        <v>196612</v>
      </c>
      <c r="R169" s="3">
        <v>3</v>
      </c>
      <c r="T169" t="e">
        <f t="shared" si="41"/>
        <v>#VALUE!</v>
      </c>
      <c r="U169" t="e">
        <f t="shared" si="40"/>
        <v>#VALUE!</v>
      </c>
    </row>
    <row r="170" spans="1:21" x14ac:dyDescent="0.35">
      <c r="A170" s="1">
        <v>169</v>
      </c>
      <c r="B170" s="8">
        <v>70</v>
      </c>
      <c r="C170" s="3" t="e">
        <f t="shared" si="34"/>
        <v>#VALUE!</v>
      </c>
      <c r="D170" s="8" t="e">
        <f t="shared" si="29"/>
        <v>#VALUE!</v>
      </c>
      <c r="E170" s="3" t="e">
        <f t="shared" si="35"/>
        <v>#VALUE!</v>
      </c>
      <c r="F170" s="8" t="e">
        <f t="shared" si="30"/>
        <v>#VALUE!</v>
      </c>
      <c r="G170" s="3" t="e">
        <f t="shared" si="31"/>
        <v>#VALUE!</v>
      </c>
      <c r="H170" s="3">
        <v>288</v>
      </c>
      <c r="I170" s="8" t="e">
        <f t="shared" si="32"/>
        <v>#VALUE!</v>
      </c>
      <c r="J170" s="3">
        <v>109906</v>
      </c>
      <c r="K170" s="3" t="e">
        <f t="shared" si="33"/>
        <v>#VALUE!</v>
      </c>
      <c r="L170" s="8" t="e">
        <f t="shared" si="36"/>
        <v>#VALUE!</v>
      </c>
      <c r="M170" s="8" t="e">
        <f t="shared" si="37"/>
        <v>#VALUE!</v>
      </c>
      <c r="N170" s="3" t="e">
        <f t="shared" si="38"/>
        <v>#VALUE!</v>
      </c>
      <c r="O170" s="3" t="e">
        <f t="shared" si="39"/>
        <v>#VALUE!</v>
      </c>
      <c r="P170" s="3">
        <v>678</v>
      </c>
      <c r="Q170" s="3">
        <v>213642</v>
      </c>
      <c r="R170" s="3">
        <v>3</v>
      </c>
      <c r="T170" t="e">
        <f t="shared" si="41"/>
        <v>#VALUE!</v>
      </c>
      <c r="U170" t="e">
        <f t="shared" si="40"/>
        <v>#VALUE!</v>
      </c>
    </row>
    <row r="171" spans="1:21" x14ac:dyDescent="0.35">
      <c r="A171" s="1">
        <v>170</v>
      </c>
      <c r="B171" s="8">
        <v>41</v>
      </c>
      <c r="C171" s="3" t="e">
        <f t="shared" si="34"/>
        <v>#VALUE!</v>
      </c>
      <c r="D171" s="8" t="e">
        <f t="shared" si="29"/>
        <v>#VALUE!</v>
      </c>
      <c r="E171" s="3" t="e">
        <f t="shared" si="35"/>
        <v>#VALUE!</v>
      </c>
      <c r="F171" s="8" t="e">
        <f t="shared" si="30"/>
        <v>#VALUE!</v>
      </c>
      <c r="G171" s="3" t="e">
        <f t="shared" si="31"/>
        <v>#VALUE!</v>
      </c>
      <c r="H171" s="3">
        <v>255</v>
      </c>
      <c r="I171" s="8" t="e">
        <f t="shared" si="32"/>
        <v>#VALUE!</v>
      </c>
      <c r="J171" s="3">
        <v>219671</v>
      </c>
      <c r="K171" s="3" t="e">
        <f t="shared" si="33"/>
        <v>#VALUE!</v>
      </c>
      <c r="L171" s="8" t="e">
        <f t="shared" si="36"/>
        <v>#VALUE!</v>
      </c>
      <c r="M171" s="8" t="e">
        <f t="shared" si="37"/>
        <v>#VALUE!</v>
      </c>
      <c r="N171" s="3" t="e">
        <f t="shared" si="38"/>
        <v>#VALUE!</v>
      </c>
      <c r="O171" s="3" t="e">
        <f t="shared" si="39"/>
        <v>#VALUE!</v>
      </c>
      <c r="P171" s="3">
        <v>698</v>
      </c>
      <c r="Q171" s="3">
        <v>220284</v>
      </c>
      <c r="R171" s="3">
        <v>3</v>
      </c>
      <c r="T171" t="e">
        <f t="shared" si="41"/>
        <v>#VALUE!</v>
      </c>
      <c r="U171" t="e">
        <f t="shared" si="40"/>
        <v>#VALUE!</v>
      </c>
    </row>
    <row r="172" spans="1:21" x14ac:dyDescent="0.35">
      <c r="A172" s="1">
        <v>171</v>
      </c>
      <c r="B172" s="8">
        <v>163</v>
      </c>
      <c r="C172" s="3" t="e">
        <f t="shared" si="34"/>
        <v>#VALUE!</v>
      </c>
      <c r="D172" s="8" t="e">
        <f t="shared" si="29"/>
        <v>#VALUE!</v>
      </c>
      <c r="E172" s="3" t="e">
        <f t="shared" si="35"/>
        <v>#VALUE!</v>
      </c>
      <c r="F172" s="8" t="e">
        <f t="shared" si="30"/>
        <v>#VALUE!</v>
      </c>
      <c r="G172" s="3" t="e">
        <f t="shared" si="31"/>
        <v>#VALUE!</v>
      </c>
      <c r="H172" s="3">
        <v>709</v>
      </c>
      <c r="I172" s="8" t="e">
        <f t="shared" si="32"/>
        <v>#VALUE!</v>
      </c>
      <c r="J172" s="3">
        <v>242532</v>
      </c>
      <c r="K172" s="3" t="e">
        <f t="shared" si="33"/>
        <v>#VALUE!</v>
      </c>
      <c r="L172" s="8" t="e">
        <f t="shared" si="36"/>
        <v>#VALUE!</v>
      </c>
      <c r="M172" s="8" t="e">
        <f t="shared" si="37"/>
        <v>#VALUE!</v>
      </c>
      <c r="N172" s="3" t="e">
        <f t="shared" si="38"/>
        <v>#VALUE!</v>
      </c>
      <c r="O172" s="3" t="e">
        <f t="shared" si="39"/>
        <v>#VALUE!</v>
      </c>
      <c r="P172" s="3">
        <v>705</v>
      </c>
      <c r="Q172" s="3">
        <v>205407</v>
      </c>
      <c r="R172" s="3">
        <v>3</v>
      </c>
      <c r="T172" t="e">
        <f t="shared" si="41"/>
        <v>#VALUE!</v>
      </c>
      <c r="U172" t="e">
        <f t="shared" si="40"/>
        <v>#VALUE!</v>
      </c>
    </row>
    <row r="173" spans="1:21" x14ac:dyDescent="0.35">
      <c r="A173" s="1">
        <v>172</v>
      </c>
      <c r="B173" s="8">
        <v>197</v>
      </c>
      <c r="C173" s="3" t="e">
        <f t="shared" si="34"/>
        <v>#VALUE!</v>
      </c>
      <c r="D173" s="8" t="e">
        <f t="shared" si="29"/>
        <v>#VALUE!</v>
      </c>
      <c r="E173" s="3" t="e">
        <f t="shared" si="35"/>
        <v>#VALUE!</v>
      </c>
      <c r="F173" s="8" t="e">
        <f t="shared" si="30"/>
        <v>#VALUE!</v>
      </c>
      <c r="G173" s="3" t="e">
        <f t="shared" si="31"/>
        <v>#VALUE!</v>
      </c>
      <c r="H173" s="3">
        <v>852</v>
      </c>
      <c r="I173" s="8" t="e">
        <f t="shared" si="32"/>
        <v>#VALUE!</v>
      </c>
      <c r="J173" s="3">
        <v>270236</v>
      </c>
      <c r="K173" s="3" t="e">
        <f t="shared" si="33"/>
        <v>#VALUE!</v>
      </c>
      <c r="L173" s="8" t="e">
        <f t="shared" si="36"/>
        <v>#VALUE!</v>
      </c>
      <c r="M173" s="8" t="e">
        <f t="shared" si="37"/>
        <v>#VALUE!</v>
      </c>
      <c r="N173" s="3" t="e">
        <f t="shared" si="38"/>
        <v>#VALUE!</v>
      </c>
      <c r="O173" s="3" t="e">
        <f t="shared" si="39"/>
        <v>#VALUE!</v>
      </c>
      <c r="P173" s="3">
        <v>602</v>
      </c>
      <c r="Q173" s="3">
        <v>301395</v>
      </c>
      <c r="R173" s="3">
        <v>4</v>
      </c>
      <c r="T173" t="e">
        <f t="shared" si="41"/>
        <v>#VALUE!</v>
      </c>
      <c r="U173" t="e">
        <f t="shared" si="40"/>
        <v>#VALUE!</v>
      </c>
    </row>
    <row r="174" spans="1:21" x14ac:dyDescent="0.35">
      <c r="A174" s="1">
        <v>173</v>
      </c>
      <c r="B174" s="8">
        <v>210</v>
      </c>
      <c r="C174" s="3" t="e">
        <f t="shared" si="34"/>
        <v>#VALUE!</v>
      </c>
      <c r="D174" s="8" t="e">
        <f t="shared" si="29"/>
        <v>#VALUE!</v>
      </c>
      <c r="E174" s="3" t="e">
        <f t="shared" si="35"/>
        <v>#VALUE!</v>
      </c>
      <c r="F174" s="8" t="e">
        <f t="shared" si="30"/>
        <v>#VALUE!</v>
      </c>
      <c r="G174" s="3" t="e">
        <f t="shared" si="31"/>
        <v>#VALUE!</v>
      </c>
      <c r="H174" s="3">
        <v>681</v>
      </c>
      <c r="I174" s="8" t="e">
        <f t="shared" si="32"/>
        <v>#VALUE!</v>
      </c>
      <c r="J174" s="3">
        <v>213987</v>
      </c>
      <c r="K174" s="3" t="e">
        <f t="shared" si="33"/>
        <v>#VALUE!</v>
      </c>
      <c r="L174" s="8" t="e">
        <f t="shared" si="36"/>
        <v>#VALUE!</v>
      </c>
      <c r="M174" s="8" t="e">
        <f t="shared" si="37"/>
        <v>#VALUE!</v>
      </c>
      <c r="N174" s="3" t="e">
        <f t="shared" si="38"/>
        <v>#VALUE!</v>
      </c>
      <c r="O174" s="3" t="e">
        <f t="shared" si="39"/>
        <v>#VALUE!</v>
      </c>
      <c r="P174" s="3">
        <v>782</v>
      </c>
      <c r="Q174" s="3">
        <v>234394</v>
      </c>
      <c r="R174" s="3">
        <v>3</v>
      </c>
      <c r="T174" t="e">
        <f t="shared" si="41"/>
        <v>#VALUE!</v>
      </c>
      <c r="U174" t="e">
        <f t="shared" si="40"/>
        <v>#VALUE!</v>
      </c>
    </row>
    <row r="175" spans="1:21" x14ac:dyDescent="0.35">
      <c r="A175" s="1">
        <v>174</v>
      </c>
      <c r="B175" s="8">
        <v>12</v>
      </c>
      <c r="C175" s="3" t="e">
        <f t="shared" si="34"/>
        <v>#VALUE!</v>
      </c>
      <c r="D175" s="8" t="e">
        <f t="shared" si="29"/>
        <v>#VALUE!</v>
      </c>
      <c r="E175" s="3" t="e">
        <f t="shared" si="35"/>
        <v>#VALUE!</v>
      </c>
      <c r="F175" s="8" t="e">
        <f t="shared" si="30"/>
        <v>#VALUE!</v>
      </c>
      <c r="G175" s="3" t="e">
        <f t="shared" si="31"/>
        <v>#VALUE!</v>
      </c>
      <c r="H175" s="3">
        <v>254</v>
      </c>
      <c r="I175" s="8" t="e">
        <f t="shared" si="32"/>
        <v>#VALUE!</v>
      </c>
      <c r="J175" s="3">
        <v>198167</v>
      </c>
      <c r="K175" s="3" t="e">
        <f t="shared" si="33"/>
        <v>#VALUE!</v>
      </c>
      <c r="L175" s="8" t="e">
        <f t="shared" si="36"/>
        <v>#VALUE!</v>
      </c>
      <c r="M175" s="8" t="e">
        <f t="shared" si="37"/>
        <v>#VALUE!</v>
      </c>
      <c r="N175" s="3" t="e">
        <f t="shared" si="38"/>
        <v>#VALUE!</v>
      </c>
      <c r="O175" s="3" t="e">
        <f t="shared" si="39"/>
        <v>#VALUE!</v>
      </c>
      <c r="P175" s="3">
        <v>748</v>
      </c>
      <c r="Q175" s="3">
        <v>68048</v>
      </c>
      <c r="R175" s="3">
        <v>5</v>
      </c>
      <c r="T175" t="e">
        <f t="shared" si="41"/>
        <v>#VALUE!</v>
      </c>
      <c r="U175" t="e">
        <f t="shared" si="40"/>
        <v>#VALUE!</v>
      </c>
    </row>
    <row r="176" spans="1:21" x14ac:dyDescent="0.35">
      <c r="A176" s="1">
        <v>175</v>
      </c>
      <c r="B176" s="8">
        <v>213</v>
      </c>
      <c r="C176" s="3" t="e">
        <f t="shared" si="34"/>
        <v>#VALUE!</v>
      </c>
      <c r="D176" s="8" t="e">
        <f t="shared" si="29"/>
        <v>#VALUE!</v>
      </c>
      <c r="E176" s="3" t="e">
        <f t="shared" si="35"/>
        <v>#VALUE!</v>
      </c>
      <c r="F176" s="8" t="e">
        <f t="shared" si="30"/>
        <v>#VALUE!</v>
      </c>
      <c r="G176" s="3" t="e">
        <f t="shared" si="31"/>
        <v>#VALUE!</v>
      </c>
      <c r="H176" s="3">
        <v>620</v>
      </c>
      <c r="I176" s="8" t="e">
        <f t="shared" si="32"/>
        <v>#VALUE!</v>
      </c>
      <c r="J176" s="3">
        <v>302192</v>
      </c>
      <c r="K176" s="3" t="e">
        <f t="shared" si="33"/>
        <v>#VALUE!</v>
      </c>
      <c r="L176" s="8" t="e">
        <f t="shared" si="36"/>
        <v>#VALUE!</v>
      </c>
      <c r="M176" s="8" t="e">
        <f t="shared" si="37"/>
        <v>#VALUE!</v>
      </c>
      <c r="N176" s="3" t="e">
        <f t="shared" si="38"/>
        <v>#VALUE!</v>
      </c>
      <c r="O176" s="3" t="e">
        <f t="shared" si="39"/>
        <v>#VALUE!</v>
      </c>
      <c r="P176" s="3">
        <v>819</v>
      </c>
      <c r="Q176" s="3">
        <v>191976</v>
      </c>
      <c r="R176" s="3">
        <v>3</v>
      </c>
      <c r="T176" t="e">
        <f t="shared" si="41"/>
        <v>#VALUE!</v>
      </c>
      <c r="U176" t="e">
        <f t="shared" si="40"/>
        <v>#VALUE!</v>
      </c>
    </row>
    <row r="177" spans="1:21" x14ac:dyDescent="0.35">
      <c r="A177" s="1">
        <v>176</v>
      </c>
      <c r="B177" s="8">
        <v>21</v>
      </c>
      <c r="C177" s="3" t="e">
        <f t="shared" si="34"/>
        <v>#VALUE!</v>
      </c>
      <c r="D177" s="8" t="e">
        <f t="shared" si="29"/>
        <v>#VALUE!</v>
      </c>
      <c r="E177" s="3" t="e">
        <f t="shared" si="35"/>
        <v>#VALUE!</v>
      </c>
      <c r="F177" s="8" t="e">
        <f t="shared" si="30"/>
        <v>#VALUE!</v>
      </c>
      <c r="G177" s="3" t="e">
        <f t="shared" si="31"/>
        <v>#VALUE!</v>
      </c>
      <c r="H177" s="3">
        <v>311</v>
      </c>
      <c r="I177" s="8" t="e">
        <f t="shared" si="32"/>
        <v>#VALUE!</v>
      </c>
      <c r="J177" s="3">
        <v>168106</v>
      </c>
      <c r="K177" s="3" t="e">
        <f t="shared" si="33"/>
        <v>#VALUE!</v>
      </c>
      <c r="L177" s="8" t="e">
        <f t="shared" si="36"/>
        <v>#VALUE!</v>
      </c>
      <c r="M177" s="8" t="e">
        <f t="shared" si="37"/>
        <v>#VALUE!</v>
      </c>
      <c r="N177" s="3" t="e">
        <f t="shared" si="38"/>
        <v>#VALUE!</v>
      </c>
      <c r="O177" s="3" t="e">
        <f t="shared" si="39"/>
        <v>#VALUE!</v>
      </c>
      <c r="P177" s="3">
        <v>809</v>
      </c>
      <c r="Q177" s="3">
        <v>280096</v>
      </c>
      <c r="R177" s="3">
        <v>4</v>
      </c>
      <c r="T177" t="e">
        <f t="shared" si="41"/>
        <v>#VALUE!</v>
      </c>
      <c r="U177" t="e">
        <f t="shared" si="40"/>
        <v>#VALUE!</v>
      </c>
    </row>
    <row r="178" spans="1:21" x14ac:dyDescent="0.35">
      <c r="A178" s="1">
        <v>177</v>
      </c>
      <c r="B178" s="8">
        <v>245</v>
      </c>
      <c r="C178" s="3" t="e">
        <f t="shared" si="34"/>
        <v>#VALUE!</v>
      </c>
      <c r="D178" s="8" t="e">
        <f t="shared" si="29"/>
        <v>#VALUE!</v>
      </c>
      <c r="E178" s="3" t="e">
        <f t="shared" si="35"/>
        <v>#VALUE!</v>
      </c>
      <c r="F178" s="8" t="e">
        <f t="shared" si="30"/>
        <v>#VALUE!</v>
      </c>
      <c r="G178" s="3" t="e">
        <f t="shared" si="31"/>
        <v>#VALUE!</v>
      </c>
      <c r="H178" s="3">
        <v>823</v>
      </c>
      <c r="I178" s="8" t="e">
        <f t="shared" si="32"/>
        <v>#VALUE!</v>
      </c>
      <c r="J178" s="3">
        <v>356833</v>
      </c>
      <c r="K178" s="3" t="e">
        <f t="shared" si="33"/>
        <v>#VALUE!</v>
      </c>
      <c r="L178" s="8" t="e">
        <f t="shared" si="36"/>
        <v>#VALUE!</v>
      </c>
      <c r="M178" s="8" t="e">
        <f t="shared" si="37"/>
        <v>#VALUE!</v>
      </c>
      <c r="N178" s="3" t="e">
        <f t="shared" si="38"/>
        <v>#VALUE!</v>
      </c>
      <c r="O178" s="3" t="e">
        <f t="shared" si="39"/>
        <v>#VALUE!</v>
      </c>
      <c r="P178" s="3">
        <v>837</v>
      </c>
      <c r="Q178" s="3">
        <v>232943</v>
      </c>
      <c r="R178" s="3">
        <v>3</v>
      </c>
      <c r="T178" t="e">
        <f t="shared" si="41"/>
        <v>#VALUE!</v>
      </c>
      <c r="U178" t="e">
        <f t="shared" si="40"/>
        <v>#VALUE!</v>
      </c>
    </row>
    <row r="179" spans="1:21" x14ac:dyDescent="0.35">
      <c r="A179" s="1">
        <v>178</v>
      </c>
      <c r="B179" s="8">
        <v>209</v>
      </c>
      <c r="C179" s="3" t="e">
        <f t="shared" si="34"/>
        <v>#VALUE!</v>
      </c>
      <c r="D179" s="8" t="e">
        <f t="shared" si="29"/>
        <v>#VALUE!</v>
      </c>
      <c r="E179" s="3" t="e">
        <f t="shared" si="35"/>
        <v>#VALUE!</v>
      </c>
      <c r="F179" s="8" t="e">
        <f t="shared" si="30"/>
        <v>#VALUE!</v>
      </c>
      <c r="G179" s="3" t="e">
        <f t="shared" si="31"/>
        <v>#VALUE!</v>
      </c>
      <c r="H179" s="3">
        <v>826</v>
      </c>
      <c r="I179" s="8" t="e">
        <f t="shared" si="32"/>
        <v>#VALUE!</v>
      </c>
      <c r="J179" s="3">
        <v>182142</v>
      </c>
      <c r="K179" s="3" t="e">
        <f t="shared" si="33"/>
        <v>#VALUE!</v>
      </c>
      <c r="L179" s="8" t="e">
        <f t="shared" si="36"/>
        <v>#VALUE!</v>
      </c>
      <c r="M179" s="8" t="e">
        <f t="shared" si="37"/>
        <v>#VALUE!</v>
      </c>
      <c r="N179" s="3" t="e">
        <f t="shared" si="38"/>
        <v>#VALUE!</v>
      </c>
      <c r="O179" s="3" t="e">
        <f t="shared" si="39"/>
        <v>#VALUE!</v>
      </c>
      <c r="P179" s="3">
        <v>667</v>
      </c>
      <c r="Q179" s="3">
        <v>114775</v>
      </c>
      <c r="R179" s="3">
        <v>3</v>
      </c>
      <c r="T179" t="e">
        <f t="shared" si="41"/>
        <v>#VALUE!</v>
      </c>
      <c r="U179" t="e">
        <f t="shared" si="40"/>
        <v>#VALUE!</v>
      </c>
    </row>
    <row r="180" spans="1:21" x14ac:dyDescent="0.35">
      <c r="A180" s="1">
        <v>179</v>
      </c>
      <c r="B180" s="8">
        <v>37</v>
      </c>
      <c r="C180" s="3" t="e">
        <f t="shared" si="34"/>
        <v>#VALUE!</v>
      </c>
      <c r="D180" s="8" t="e">
        <f t="shared" si="29"/>
        <v>#VALUE!</v>
      </c>
      <c r="E180" s="3" t="e">
        <f t="shared" si="35"/>
        <v>#VALUE!</v>
      </c>
      <c r="F180" s="8" t="e">
        <f t="shared" si="30"/>
        <v>#VALUE!</v>
      </c>
      <c r="G180" s="3" t="e">
        <f t="shared" si="31"/>
        <v>#VALUE!</v>
      </c>
      <c r="H180" s="3">
        <v>201</v>
      </c>
      <c r="I180" s="8" t="e">
        <f t="shared" si="32"/>
        <v>#VALUE!</v>
      </c>
      <c r="J180" s="3">
        <v>198077</v>
      </c>
      <c r="K180" s="3" t="e">
        <f t="shared" si="33"/>
        <v>#VALUE!</v>
      </c>
      <c r="L180" s="8" t="e">
        <f t="shared" si="36"/>
        <v>#VALUE!</v>
      </c>
      <c r="M180" s="8" t="e">
        <f t="shared" si="37"/>
        <v>#VALUE!</v>
      </c>
      <c r="N180" s="3" t="e">
        <f t="shared" si="38"/>
        <v>#VALUE!</v>
      </c>
      <c r="O180" s="3" t="e">
        <f t="shared" si="39"/>
        <v>#VALUE!</v>
      </c>
      <c r="P180" s="3">
        <v>751</v>
      </c>
      <c r="Q180" s="3">
        <v>172641</v>
      </c>
      <c r="R180" s="3">
        <v>3</v>
      </c>
      <c r="T180" t="e">
        <f t="shared" si="41"/>
        <v>#VALUE!</v>
      </c>
      <c r="U180" t="e">
        <f t="shared" si="40"/>
        <v>#VALUE!</v>
      </c>
    </row>
    <row r="181" spans="1:21" x14ac:dyDescent="0.35">
      <c r="A181" s="1">
        <v>180</v>
      </c>
      <c r="B181" s="8">
        <v>154</v>
      </c>
      <c r="C181" s="3" t="e">
        <f t="shared" si="34"/>
        <v>#VALUE!</v>
      </c>
      <c r="D181" s="8" t="e">
        <f t="shared" si="29"/>
        <v>#VALUE!</v>
      </c>
      <c r="E181" s="3" t="e">
        <f t="shared" si="35"/>
        <v>#VALUE!</v>
      </c>
      <c r="F181" s="8" t="e">
        <f t="shared" si="30"/>
        <v>#VALUE!</v>
      </c>
      <c r="G181" s="3" t="e">
        <f t="shared" si="31"/>
        <v>#VALUE!</v>
      </c>
      <c r="H181" s="3">
        <v>636</v>
      </c>
      <c r="I181" s="8" t="e">
        <f t="shared" si="32"/>
        <v>#VALUE!</v>
      </c>
      <c r="J181" s="3">
        <v>210735</v>
      </c>
      <c r="K181" s="3" t="e">
        <f t="shared" si="33"/>
        <v>#VALUE!</v>
      </c>
      <c r="L181" s="8" t="e">
        <f t="shared" si="36"/>
        <v>#VALUE!</v>
      </c>
      <c r="M181" s="8" t="e">
        <f t="shared" si="37"/>
        <v>#VALUE!</v>
      </c>
      <c r="N181" s="3" t="e">
        <f t="shared" si="38"/>
        <v>#VALUE!</v>
      </c>
      <c r="O181" s="3" t="e">
        <f t="shared" si="39"/>
        <v>#VALUE!</v>
      </c>
      <c r="P181" s="3">
        <v>743</v>
      </c>
      <c r="Q181" s="3">
        <v>184080</v>
      </c>
      <c r="R181" s="3">
        <v>3</v>
      </c>
      <c r="T181" t="e">
        <f t="shared" si="41"/>
        <v>#VALUE!</v>
      </c>
      <c r="U181" t="e">
        <f t="shared" si="40"/>
        <v>#VALUE!</v>
      </c>
    </row>
    <row r="182" spans="1:21" x14ac:dyDescent="0.35">
      <c r="A182" s="1">
        <v>181</v>
      </c>
      <c r="B182" s="8">
        <v>20</v>
      </c>
      <c r="C182" s="3" t="e">
        <f t="shared" si="34"/>
        <v>#VALUE!</v>
      </c>
      <c r="D182" s="8" t="e">
        <f t="shared" si="29"/>
        <v>#VALUE!</v>
      </c>
      <c r="E182" s="3" t="e">
        <f t="shared" si="35"/>
        <v>#VALUE!</v>
      </c>
      <c r="F182" s="8" t="e">
        <f t="shared" si="30"/>
        <v>#VALUE!</v>
      </c>
      <c r="G182" s="3" t="e">
        <f t="shared" si="31"/>
        <v>#VALUE!</v>
      </c>
      <c r="H182" s="3">
        <v>737</v>
      </c>
      <c r="I182" s="8" t="e">
        <f t="shared" si="32"/>
        <v>#VALUE!</v>
      </c>
      <c r="J182" s="3">
        <v>233725</v>
      </c>
      <c r="K182" s="3" t="e">
        <f t="shared" si="33"/>
        <v>#VALUE!</v>
      </c>
      <c r="L182" s="8" t="e">
        <f t="shared" si="36"/>
        <v>#VALUE!</v>
      </c>
      <c r="M182" s="8" t="e">
        <f t="shared" si="37"/>
        <v>#VALUE!</v>
      </c>
      <c r="N182" s="3" t="e">
        <f t="shared" si="38"/>
        <v>#VALUE!</v>
      </c>
      <c r="O182" s="3" t="e">
        <f t="shared" si="39"/>
        <v>#VALUE!</v>
      </c>
      <c r="P182" s="3">
        <v>787</v>
      </c>
      <c r="Q182" s="3">
        <v>166516</v>
      </c>
      <c r="R182" s="3">
        <v>3</v>
      </c>
      <c r="T182" t="e">
        <f t="shared" si="41"/>
        <v>#VALUE!</v>
      </c>
      <c r="U182" t="e">
        <f t="shared" si="40"/>
        <v>#VALUE!</v>
      </c>
    </row>
    <row r="183" spans="1:21" x14ac:dyDescent="0.35">
      <c r="A183" s="1">
        <v>182</v>
      </c>
      <c r="B183" s="8">
        <v>218</v>
      </c>
      <c r="C183" s="3" t="e">
        <f t="shared" si="34"/>
        <v>#VALUE!</v>
      </c>
      <c r="D183" s="8" t="e">
        <f t="shared" si="29"/>
        <v>#VALUE!</v>
      </c>
      <c r="E183" s="3" t="e">
        <f t="shared" si="35"/>
        <v>#VALUE!</v>
      </c>
      <c r="F183" s="8" t="e">
        <f t="shared" si="30"/>
        <v>#VALUE!</v>
      </c>
      <c r="G183" s="3" t="e">
        <f t="shared" si="31"/>
        <v>#VALUE!</v>
      </c>
      <c r="H183" s="3">
        <v>773</v>
      </c>
      <c r="I183" s="8" t="e">
        <f t="shared" si="32"/>
        <v>#VALUE!</v>
      </c>
      <c r="J183" s="3">
        <v>130673</v>
      </c>
      <c r="K183" s="3" t="e">
        <f t="shared" si="33"/>
        <v>#VALUE!</v>
      </c>
      <c r="L183" s="8" t="e">
        <f t="shared" si="36"/>
        <v>#VALUE!</v>
      </c>
      <c r="M183" s="8" t="e">
        <f t="shared" si="37"/>
        <v>#VALUE!</v>
      </c>
      <c r="N183" s="3" t="e">
        <f t="shared" si="38"/>
        <v>#VALUE!</v>
      </c>
      <c r="O183" s="3" t="e">
        <f t="shared" si="39"/>
        <v>#VALUE!</v>
      </c>
      <c r="P183" s="3">
        <v>831</v>
      </c>
      <c r="Q183" s="3">
        <v>180155</v>
      </c>
      <c r="R183" s="3">
        <v>3</v>
      </c>
      <c r="T183" t="e">
        <f t="shared" si="41"/>
        <v>#VALUE!</v>
      </c>
      <c r="U183" t="e">
        <f t="shared" si="40"/>
        <v>#VALUE!</v>
      </c>
    </row>
    <row r="184" spans="1:21" x14ac:dyDescent="0.35">
      <c r="A184" s="1">
        <v>183</v>
      </c>
      <c r="B184" s="8">
        <v>50</v>
      </c>
      <c r="C184" s="3" t="e">
        <f t="shared" si="34"/>
        <v>#VALUE!</v>
      </c>
      <c r="D184" s="8" t="e">
        <f t="shared" si="29"/>
        <v>#VALUE!</v>
      </c>
      <c r="E184" s="3" t="e">
        <f t="shared" si="35"/>
        <v>#VALUE!</v>
      </c>
      <c r="F184" s="8" t="e">
        <f t="shared" si="30"/>
        <v>#VALUE!</v>
      </c>
      <c r="G184" s="3" t="e">
        <f t="shared" si="31"/>
        <v>#VALUE!</v>
      </c>
      <c r="H184" s="3">
        <v>277</v>
      </c>
      <c r="I184" s="8" t="e">
        <f t="shared" si="32"/>
        <v>#VALUE!</v>
      </c>
      <c r="J184" s="3">
        <v>138845</v>
      </c>
      <c r="K184" s="3" t="e">
        <f t="shared" si="33"/>
        <v>#VALUE!</v>
      </c>
      <c r="L184" s="8" t="e">
        <f t="shared" si="36"/>
        <v>#VALUE!</v>
      </c>
      <c r="M184" s="8" t="e">
        <f t="shared" si="37"/>
        <v>#VALUE!</v>
      </c>
      <c r="N184" s="3" t="e">
        <f t="shared" si="38"/>
        <v>#VALUE!</v>
      </c>
      <c r="O184" s="3" t="e">
        <f t="shared" si="39"/>
        <v>#VALUE!</v>
      </c>
      <c r="P184" s="3">
        <v>791</v>
      </c>
      <c r="Q184" s="3">
        <v>341000</v>
      </c>
      <c r="R184" s="3">
        <v>4</v>
      </c>
      <c r="T184" t="e">
        <f t="shared" si="41"/>
        <v>#VALUE!</v>
      </c>
      <c r="U184" t="e">
        <f t="shared" si="40"/>
        <v>#VALUE!</v>
      </c>
    </row>
    <row r="185" spans="1:21" x14ac:dyDescent="0.35">
      <c r="A185" s="1">
        <v>184</v>
      </c>
      <c r="B185" s="8">
        <v>273</v>
      </c>
      <c r="C185" s="3" t="e">
        <f t="shared" si="34"/>
        <v>#VALUE!</v>
      </c>
      <c r="D185" s="8" t="e">
        <f t="shared" si="29"/>
        <v>#VALUE!</v>
      </c>
      <c r="E185" s="3" t="e">
        <f t="shared" si="35"/>
        <v>#VALUE!</v>
      </c>
      <c r="F185" s="8" t="e">
        <f t="shared" si="30"/>
        <v>#VALUE!</v>
      </c>
      <c r="G185" s="3" t="e">
        <f t="shared" si="31"/>
        <v>#VALUE!</v>
      </c>
      <c r="H185" s="3">
        <v>773</v>
      </c>
      <c r="I185" s="8" t="e">
        <f t="shared" si="32"/>
        <v>#VALUE!</v>
      </c>
      <c r="J185" s="3">
        <v>148561</v>
      </c>
      <c r="K185" s="3" t="e">
        <f t="shared" si="33"/>
        <v>#VALUE!</v>
      </c>
      <c r="L185" s="8" t="e">
        <f t="shared" si="36"/>
        <v>#VALUE!</v>
      </c>
      <c r="M185" s="8" t="e">
        <f t="shared" si="37"/>
        <v>#VALUE!</v>
      </c>
      <c r="N185" s="3" t="e">
        <f t="shared" si="38"/>
        <v>#VALUE!</v>
      </c>
      <c r="O185" s="3" t="e">
        <f t="shared" si="39"/>
        <v>#VALUE!</v>
      </c>
      <c r="P185" s="3">
        <v>841</v>
      </c>
      <c r="Q185" s="3">
        <v>248759</v>
      </c>
      <c r="R185" s="3">
        <v>3</v>
      </c>
      <c r="T185" t="e">
        <f t="shared" si="41"/>
        <v>#VALUE!</v>
      </c>
      <c r="U185" t="e">
        <f t="shared" si="40"/>
        <v>#VALUE!</v>
      </c>
    </row>
    <row r="186" spans="1:21" x14ac:dyDescent="0.35">
      <c r="A186" s="1">
        <v>185</v>
      </c>
      <c r="B186" s="8">
        <v>254</v>
      </c>
      <c r="C186" s="3" t="e">
        <f t="shared" si="34"/>
        <v>#VALUE!</v>
      </c>
      <c r="D186" s="8" t="e">
        <f t="shared" si="29"/>
        <v>#VALUE!</v>
      </c>
      <c r="E186" s="3" t="e">
        <f t="shared" si="35"/>
        <v>#VALUE!</v>
      </c>
      <c r="F186" s="8" t="e">
        <f t="shared" si="30"/>
        <v>#VALUE!</v>
      </c>
      <c r="G186" s="3" t="e">
        <f t="shared" si="31"/>
        <v>#VALUE!</v>
      </c>
      <c r="H186" s="3">
        <v>637</v>
      </c>
      <c r="I186" s="8" t="e">
        <f t="shared" si="32"/>
        <v>#VALUE!</v>
      </c>
      <c r="J186" s="3">
        <v>178138</v>
      </c>
      <c r="K186" s="3" t="e">
        <f t="shared" si="33"/>
        <v>#VALUE!</v>
      </c>
      <c r="L186" s="8" t="e">
        <f t="shared" si="36"/>
        <v>#VALUE!</v>
      </c>
      <c r="M186" s="8" t="e">
        <f t="shared" si="37"/>
        <v>#VALUE!</v>
      </c>
      <c r="N186" s="3" t="e">
        <f t="shared" si="38"/>
        <v>#VALUE!</v>
      </c>
      <c r="O186" s="3" t="e">
        <f t="shared" si="39"/>
        <v>#VALUE!</v>
      </c>
      <c r="P186" s="3">
        <v>843</v>
      </c>
      <c r="Q186" s="3">
        <v>228069</v>
      </c>
      <c r="R186" s="3">
        <v>4</v>
      </c>
      <c r="T186" t="e">
        <f t="shared" si="41"/>
        <v>#VALUE!</v>
      </c>
      <c r="U186" t="e">
        <f t="shared" si="40"/>
        <v>#VALUE!</v>
      </c>
    </row>
    <row r="187" spans="1:21" x14ac:dyDescent="0.35">
      <c r="A187" s="1">
        <v>186</v>
      </c>
      <c r="B187" s="8">
        <v>17</v>
      </c>
      <c r="C187" s="3" t="e">
        <f t="shared" si="34"/>
        <v>#VALUE!</v>
      </c>
      <c r="D187" s="8" t="e">
        <f t="shared" si="29"/>
        <v>#VALUE!</v>
      </c>
      <c r="E187" s="3" t="e">
        <f t="shared" si="35"/>
        <v>#VALUE!</v>
      </c>
      <c r="F187" s="8" t="e">
        <f t="shared" si="30"/>
        <v>#VALUE!</v>
      </c>
      <c r="G187" s="3" t="e">
        <f t="shared" si="31"/>
        <v>#VALUE!</v>
      </c>
      <c r="H187" s="3">
        <v>123</v>
      </c>
      <c r="I187" s="8" t="e">
        <f t="shared" si="32"/>
        <v>#VALUE!</v>
      </c>
      <c r="J187" s="3">
        <v>106922</v>
      </c>
      <c r="K187" s="3" t="e">
        <f t="shared" si="33"/>
        <v>#VALUE!</v>
      </c>
      <c r="L187" s="8" t="e">
        <f t="shared" si="36"/>
        <v>#VALUE!</v>
      </c>
      <c r="M187" s="8" t="e">
        <f t="shared" si="37"/>
        <v>#VALUE!</v>
      </c>
      <c r="N187" s="3" t="e">
        <f t="shared" si="38"/>
        <v>#VALUE!</v>
      </c>
      <c r="O187" s="3" t="e">
        <f t="shared" si="39"/>
        <v>#VALUE!</v>
      </c>
      <c r="P187" s="3">
        <v>618</v>
      </c>
      <c r="Q187" s="3">
        <v>174814</v>
      </c>
      <c r="R187" s="3">
        <v>4</v>
      </c>
      <c r="T187" t="e">
        <f t="shared" si="41"/>
        <v>#VALUE!</v>
      </c>
      <c r="U187" t="e">
        <f t="shared" si="40"/>
        <v>#VALUE!</v>
      </c>
    </row>
    <row r="188" spans="1:21" x14ac:dyDescent="0.35">
      <c r="A188" s="1">
        <v>187</v>
      </c>
      <c r="B188" s="8">
        <v>142</v>
      </c>
      <c r="C188" s="3" t="e">
        <f t="shared" si="34"/>
        <v>#VALUE!</v>
      </c>
      <c r="D188" s="8" t="e">
        <f t="shared" si="29"/>
        <v>#VALUE!</v>
      </c>
      <c r="E188" s="3" t="e">
        <f t="shared" si="35"/>
        <v>#VALUE!</v>
      </c>
      <c r="F188" s="8" t="e">
        <f t="shared" si="30"/>
        <v>#VALUE!</v>
      </c>
      <c r="G188" s="3" t="e">
        <f t="shared" si="31"/>
        <v>#VALUE!</v>
      </c>
      <c r="H188" s="3">
        <v>315</v>
      </c>
      <c r="I188" s="8" t="e">
        <f t="shared" si="32"/>
        <v>#VALUE!</v>
      </c>
      <c r="J188" s="3">
        <v>100762</v>
      </c>
      <c r="K188" s="3" t="e">
        <f t="shared" si="33"/>
        <v>#VALUE!</v>
      </c>
      <c r="L188" s="8" t="e">
        <f t="shared" si="36"/>
        <v>#VALUE!</v>
      </c>
      <c r="M188" s="8" t="e">
        <f t="shared" si="37"/>
        <v>#VALUE!</v>
      </c>
      <c r="N188" s="3" t="e">
        <f t="shared" si="38"/>
        <v>#VALUE!</v>
      </c>
      <c r="O188" s="3" t="e">
        <f t="shared" si="39"/>
        <v>#VALUE!</v>
      </c>
      <c r="P188" s="3">
        <v>753</v>
      </c>
      <c r="Q188" s="3">
        <v>119697</v>
      </c>
      <c r="R188" s="3">
        <v>4</v>
      </c>
      <c r="T188" t="e">
        <f t="shared" si="41"/>
        <v>#VALUE!</v>
      </c>
      <c r="U188" t="e">
        <f t="shared" si="40"/>
        <v>#VALUE!</v>
      </c>
    </row>
    <row r="189" spans="1:21" x14ac:dyDescent="0.35">
      <c r="A189" s="1">
        <v>188</v>
      </c>
      <c r="B189" s="8">
        <v>272</v>
      </c>
      <c r="C189" s="3" t="e">
        <f t="shared" si="34"/>
        <v>#VALUE!</v>
      </c>
      <c r="D189" s="8" t="e">
        <f t="shared" si="29"/>
        <v>#VALUE!</v>
      </c>
      <c r="E189" s="3" t="e">
        <f t="shared" si="35"/>
        <v>#VALUE!</v>
      </c>
      <c r="F189" s="8" t="e">
        <f t="shared" si="30"/>
        <v>#VALUE!</v>
      </c>
      <c r="G189" s="3" t="e">
        <f t="shared" si="31"/>
        <v>#VALUE!</v>
      </c>
      <c r="H189" s="3">
        <v>559</v>
      </c>
      <c r="I189" s="8" t="e">
        <f t="shared" si="32"/>
        <v>#VALUE!</v>
      </c>
      <c r="J189" s="3">
        <v>165906</v>
      </c>
      <c r="K189" s="3" t="e">
        <f t="shared" si="33"/>
        <v>#VALUE!</v>
      </c>
      <c r="L189" s="8" t="e">
        <f t="shared" si="36"/>
        <v>#VALUE!</v>
      </c>
      <c r="M189" s="8" t="e">
        <f t="shared" si="37"/>
        <v>#VALUE!</v>
      </c>
      <c r="N189" s="3" t="e">
        <f t="shared" si="38"/>
        <v>#VALUE!</v>
      </c>
      <c r="O189" s="3" t="e">
        <f t="shared" si="39"/>
        <v>#VALUE!</v>
      </c>
      <c r="P189" s="3">
        <v>580</v>
      </c>
      <c r="Q189" s="3">
        <v>138186</v>
      </c>
      <c r="R189" s="3">
        <v>5</v>
      </c>
      <c r="T189" t="e">
        <f t="shared" si="41"/>
        <v>#VALUE!</v>
      </c>
      <c r="U189" t="e">
        <f t="shared" si="40"/>
        <v>#VALUE!</v>
      </c>
    </row>
    <row r="190" spans="1:21" x14ac:dyDescent="0.35">
      <c r="A190" s="1">
        <v>189</v>
      </c>
      <c r="B190" s="8">
        <v>250</v>
      </c>
      <c r="C190" s="3" t="e">
        <f t="shared" si="34"/>
        <v>#VALUE!</v>
      </c>
      <c r="D190" s="8" t="e">
        <f t="shared" si="29"/>
        <v>#VALUE!</v>
      </c>
      <c r="E190" s="3" t="e">
        <f t="shared" si="35"/>
        <v>#VALUE!</v>
      </c>
      <c r="F190" s="8" t="e">
        <f t="shared" si="30"/>
        <v>#VALUE!</v>
      </c>
      <c r="G190" s="3" t="e">
        <f t="shared" si="31"/>
        <v>#VALUE!</v>
      </c>
      <c r="H190" s="3">
        <v>774</v>
      </c>
      <c r="I190" s="8" t="e">
        <f t="shared" si="32"/>
        <v>#VALUE!</v>
      </c>
      <c r="J190" s="3">
        <v>243217</v>
      </c>
      <c r="K190" s="3" t="e">
        <f t="shared" si="33"/>
        <v>#VALUE!</v>
      </c>
      <c r="L190" s="8" t="e">
        <f t="shared" si="36"/>
        <v>#VALUE!</v>
      </c>
      <c r="M190" s="8" t="e">
        <f t="shared" si="37"/>
        <v>#VALUE!</v>
      </c>
      <c r="N190" s="3" t="e">
        <f t="shared" si="38"/>
        <v>#VALUE!</v>
      </c>
      <c r="O190" s="3" t="e">
        <f t="shared" si="39"/>
        <v>#VALUE!</v>
      </c>
      <c r="P190" s="3">
        <v>782</v>
      </c>
      <c r="Q190" s="3">
        <v>294453</v>
      </c>
      <c r="R190" s="3">
        <v>5</v>
      </c>
      <c r="T190" t="e">
        <f t="shared" si="41"/>
        <v>#VALUE!</v>
      </c>
      <c r="U190" t="e">
        <f t="shared" si="40"/>
        <v>#VALUE!</v>
      </c>
    </row>
    <row r="191" spans="1:21" x14ac:dyDescent="0.35">
      <c r="A191" s="1">
        <v>190</v>
      </c>
      <c r="B191" s="8">
        <v>43</v>
      </c>
      <c r="C191" s="3" t="e">
        <f t="shared" si="34"/>
        <v>#VALUE!</v>
      </c>
      <c r="D191" s="8" t="e">
        <f t="shared" si="29"/>
        <v>#VALUE!</v>
      </c>
      <c r="E191" s="3" t="e">
        <f t="shared" si="35"/>
        <v>#VALUE!</v>
      </c>
      <c r="F191" s="8" t="e">
        <f t="shared" si="30"/>
        <v>#VALUE!</v>
      </c>
      <c r="G191" s="3" t="e">
        <f t="shared" si="31"/>
        <v>#VALUE!</v>
      </c>
      <c r="H191" s="3">
        <v>147</v>
      </c>
      <c r="I191" s="8" t="e">
        <f t="shared" si="32"/>
        <v>#VALUE!</v>
      </c>
      <c r="J191" s="3">
        <v>217581</v>
      </c>
      <c r="K191" s="3" t="e">
        <f t="shared" si="33"/>
        <v>#VALUE!</v>
      </c>
      <c r="L191" s="8" t="e">
        <f t="shared" si="36"/>
        <v>#VALUE!</v>
      </c>
      <c r="M191" s="8" t="e">
        <f t="shared" si="37"/>
        <v>#VALUE!</v>
      </c>
      <c r="N191" s="3" t="e">
        <f t="shared" si="38"/>
        <v>#VALUE!</v>
      </c>
      <c r="O191" s="3" t="e">
        <f t="shared" si="39"/>
        <v>#VALUE!</v>
      </c>
      <c r="P191" s="3">
        <v>678</v>
      </c>
      <c r="Q191" s="3">
        <v>122300</v>
      </c>
      <c r="R191" s="3">
        <v>2</v>
      </c>
      <c r="T191" t="e">
        <f t="shared" si="41"/>
        <v>#VALUE!</v>
      </c>
      <c r="U191" t="e">
        <f t="shared" si="40"/>
        <v>#VALUE!</v>
      </c>
    </row>
    <row r="192" spans="1:21" x14ac:dyDescent="0.35">
      <c r="A192" s="1">
        <v>191</v>
      </c>
      <c r="B192" s="8">
        <v>56</v>
      </c>
      <c r="C192" s="3" t="e">
        <f t="shared" si="34"/>
        <v>#VALUE!</v>
      </c>
      <c r="D192" s="8" t="e">
        <f t="shared" si="29"/>
        <v>#VALUE!</v>
      </c>
      <c r="E192" s="3" t="e">
        <f t="shared" si="35"/>
        <v>#VALUE!</v>
      </c>
      <c r="F192" s="8" t="e">
        <f t="shared" si="30"/>
        <v>#VALUE!</v>
      </c>
      <c r="G192" s="3" t="e">
        <f t="shared" si="31"/>
        <v>#VALUE!</v>
      </c>
      <c r="H192" s="3">
        <v>218</v>
      </c>
      <c r="I192" s="8" t="e">
        <f t="shared" si="32"/>
        <v>#VALUE!</v>
      </c>
      <c r="J192" s="3">
        <v>266495</v>
      </c>
      <c r="K192" s="3" t="e">
        <f t="shared" si="33"/>
        <v>#VALUE!</v>
      </c>
      <c r="L192" s="8" t="e">
        <f t="shared" si="36"/>
        <v>#VALUE!</v>
      </c>
      <c r="M192" s="8" t="e">
        <f t="shared" si="37"/>
        <v>#VALUE!</v>
      </c>
      <c r="N192" s="3" t="e">
        <f t="shared" si="38"/>
        <v>#VALUE!</v>
      </c>
      <c r="O192" s="3" t="e">
        <f t="shared" si="39"/>
        <v>#VALUE!</v>
      </c>
      <c r="P192" s="3">
        <v>495</v>
      </c>
      <c r="Q192" s="3">
        <v>130694</v>
      </c>
      <c r="R192" s="3">
        <v>4</v>
      </c>
      <c r="T192" t="e">
        <f t="shared" si="41"/>
        <v>#VALUE!</v>
      </c>
      <c r="U192" t="e">
        <f t="shared" si="40"/>
        <v>#VALUE!</v>
      </c>
    </row>
    <row r="193" spans="1:21" x14ac:dyDescent="0.35">
      <c r="A193" s="1">
        <v>192</v>
      </c>
      <c r="B193" s="8">
        <v>173</v>
      </c>
      <c r="C193" s="3" t="e">
        <f t="shared" si="34"/>
        <v>#VALUE!</v>
      </c>
      <c r="D193" s="8" t="e">
        <f t="shared" si="29"/>
        <v>#VALUE!</v>
      </c>
      <c r="E193" s="3" t="e">
        <f t="shared" si="35"/>
        <v>#VALUE!</v>
      </c>
      <c r="F193" s="8" t="e">
        <f t="shared" si="30"/>
        <v>#VALUE!</v>
      </c>
      <c r="G193" s="3" t="e">
        <f t="shared" si="31"/>
        <v>#VALUE!</v>
      </c>
      <c r="H193" s="3">
        <v>782</v>
      </c>
      <c r="I193" s="8" t="e">
        <f t="shared" si="32"/>
        <v>#VALUE!</v>
      </c>
      <c r="J193" s="3">
        <v>234394</v>
      </c>
      <c r="K193" s="3" t="e">
        <f t="shared" si="33"/>
        <v>#VALUE!</v>
      </c>
      <c r="L193" s="8" t="e">
        <f t="shared" si="36"/>
        <v>#VALUE!</v>
      </c>
      <c r="M193" s="8" t="e">
        <f t="shared" si="37"/>
        <v>#VALUE!</v>
      </c>
      <c r="N193" s="3" t="e">
        <f t="shared" si="38"/>
        <v>#VALUE!</v>
      </c>
      <c r="O193" s="3" t="e">
        <f t="shared" si="39"/>
        <v>#VALUE!</v>
      </c>
      <c r="P193" s="3">
        <v>772</v>
      </c>
      <c r="Q193" s="3">
        <v>151634</v>
      </c>
      <c r="R193" s="3">
        <v>3</v>
      </c>
      <c r="T193" t="e">
        <f t="shared" si="41"/>
        <v>#VALUE!</v>
      </c>
      <c r="U193" t="e">
        <f t="shared" si="40"/>
        <v>#VALUE!</v>
      </c>
    </row>
    <row r="194" spans="1:21" x14ac:dyDescent="0.35">
      <c r="A194" s="1">
        <v>193</v>
      </c>
      <c r="B194" s="8">
        <v>47</v>
      </c>
      <c r="C194" s="3" t="e">
        <f t="shared" si="34"/>
        <v>#VALUE!</v>
      </c>
      <c r="D194" s="8" t="e">
        <f t="shared" ref="D194:D257" si="42">VLOOKUP(C194,$W$8:$X$10,2,FALSE)</f>
        <v>#VALUE!</v>
      </c>
      <c r="E194" s="3" t="e">
        <f t="shared" si="35"/>
        <v>#VALUE!</v>
      </c>
      <c r="F194" s="8" t="e">
        <f t="shared" ref="F194:F257" si="43">VLOOKUP(E194,$W$2:$X$4,2,FALSE)</f>
        <v>#VALUE!</v>
      </c>
      <c r="G194" s="3" t="e">
        <f t="shared" ref="G194:G257" si="44">MID($W$22,MOD(ROW(G194),5)+1,1)*(-1)^ROW(G194)</f>
        <v>#VALUE!</v>
      </c>
      <c r="H194" s="3">
        <v>155</v>
      </c>
      <c r="I194" s="8" t="e">
        <f t="shared" ref="I194:I257" si="45">H194+G194</f>
        <v>#VALUE!</v>
      </c>
      <c r="J194" s="3">
        <v>273408</v>
      </c>
      <c r="K194" s="3" t="e">
        <f t="shared" ref="K194:K257" si="46">$X$22</f>
        <v>#VALUE!</v>
      </c>
      <c r="L194" s="8" t="e">
        <f t="shared" si="36"/>
        <v>#VALUE!</v>
      </c>
      <c r="M194" s="8" t="e">
        <f t="shared" si="37"/>
        <v>#VALUE!</v>
      </c>
      <c r="N194" s="3" t="e">
        <f t="shared" si="38"/>
        <v>#VALUE!</v>
      </c>
      <c r="O194" s="3" t="e">
        <f t="shared" si="39"/>
        <v>#VALUE!</v>
      </c>
      <c r="P194" s="3">
        <v>762</v>
      </c>
      <c r="Q194" s="3">
        <v>100446</v>
      </c>
      <c r="R194" s="3">
        <v>4</v>
      </c>
      <c r="T194" t="e">
        <f t="shared" si="41"/>
        <v>#VALUE!</v>
      </c>
      <c r="U194" t="e">
        <f t="shared" si="40"/>
        <v>#VALUE!</v>
      </c>
    </row>
    <row r="195" spans="1:21" x14ac:dyDescent="0.35">
      <c r="A195" s="1">
        <v>194</v>
      </c>
      <c r="B195" s="8">
        <v>224</v>
      </c>
      <c r="C195" s="3" t="e">
        <f t="shared" ref="C195:C258" si="47">VALUE(MID(U195,MOD(A195,5)+1,1))</f>
        <v>#VALUE!</v>
      </c>
      <c r="D195" s="8" t="e">
        <f t="shared" si="42"/>
        <v>#VALUE!</v>
      </c>
      <c r="E195" s="3" t="e">
        <f t="shared" ref="E195:E258" si="48">VALUE(MID(U195,(5-MOD(A195,4)),1))</f>
        <v>#VALUE!</v>
      </c>
      <c r="F195" s="8" t="e">
        <f t="shared" si="43"/>
        <v>#VALUE!</v>
      </c>
      <c r="G195" s="3" t="e">
        <f t="shared" si="44"/>
        <v>#VALUE!</v>
      </c>
      <c r="H195" s="3">
        <v>789</v>
      </c>
      <c r="I195" s="8" t="e">
        <f t="shared" si="45"/>
        <v>#VALUE!</v>
      </c>
      <c r="J195" s="3">
        <v>222653</v>
      </c>
      <c r="K195" s="3" t="e">
        <f t="shared" si="46"/>
        <v>#VALUE!</v>
      </c>
      <c r="L195" s="8" t="e">
        <f t="shared" ref="L195:L258" si="49">VLOOKUP(O195,$Z$2:$AA$5,2,FALSE)</f>
        <v>#VALUE!</v>
      </c>
      <c r="M195" s="8" t="e">
        <f t="shared" ref="M195:M258" si="50">VLOOKUP(N195,$Z$8:$AA$10,2,FALSE)</f>
        <v>#VALUE!</v>
      </c>
      <c r="N195" s="3" t="e">
        <f t="shared" ref="N195:N258" si="51">VALUE(MID(U195,(5-MOD(A195,3)),1))</f>
        <v>#VALUE!</v>
      </c>
      <c r="O195" s="3" t="e">
        <f t="shared" ref="O195:O258" si="52">N196+N197</f>
        <v>#VALUE!</v>
      </c>
      <c r="P195" s="3">
        <v>729</v>
      </c>
      <c r="Q195" s="3">
        <v>123600</v>
      </c>
      <c r="R195" s="3">
        <v>4</v>
      </c>
      <c r="T195" t="e">
        <f t="shared" si="41"/>
        <v>#VALUE!</v>
      </c>
      <c r="U195" t="e">
        <f t="shared" ref="U195:U258" si="53">DEC2BIN(T195)</f>
        <v>#VALUE!</v>
      </c>
    </row>
    <row r="196" spans="1:21" x14ac:dyDescent="0.35">
      <c r="A196" s="1">
        <v>195</v>
      </c>
      <c r="B196" s="8">
        <v>54</v>
      </c>
      <c r="C196" s="3" t="e">
        <f t="shared" si="47"/>
        <v>#VALUE!</v>
      </c>
      <c r="D196" s="8" t="e">
        <f t="shared" si="42"/>
        <v>#VALUE!</v>
      </c>
      <c r="E196" s="3" t="e">
        <f t="shared" si="48"/>
        <v>#VALUE!</v>
      </c>
      <c r="F196" s="8" t="e">
        <f t="shared" si="43"/>
        <v>#VALUE!</v>
      </c>
      <c r="G196" s="3" t="e">
        <f t="shared" si="44"/>
        <v>#VALUE!</v>
      </c>
      <c r="H196" s="3">
        <v>311</v>
      </c>
      <c r="I196" s="8" t="e">
        <f t="shared" si="45"/>
        <v>#VALUE!</v>
      </c>
      <c r="J196" s="3">
        <v>366712</v>
      </c>
      <c r="K196" s="3" t="e">
        <f t="shared" si="46"/>
        <v>#VALUE!</v>
      </c>
      <c r="L196" s="8" t="e">
        <f t="shared" si="49"/>
        <v>#VALUE!</v>
      </c>
      <c r="M196" s="8" t="e">
        <f t="shared" si="50"/>
        <v>#VALUE!</v>
      </c>
      <c r="N196" s="3" t="e">
        <f t="shared" si="51"/>
        <v>#VALUE!</v>
      </c>
      <c r="O196" s="3" t="e">
        <f t="shared" si="52"/>
        <v>#VALUE!</v>
      </c>
      <c r="P196" s="3">
        <v>823</v>
      </c>
      <c r="Q196" s="3">
        <v>262496</v>
      </c>
      <c r="R196" s="3">
        <v>4</v>
      </c>
      <c r="T196" t="e">
        <f t="shared" ref="T196:T259" si="54">T195+1</f>
        <v>#VALUE!</v>
      </c>
      <c r="U196" t="e">
        <f t="shared" si="53"/>
        <v>#VALUE!</v>
      </c>
    </row>
    <row r="197" spans="1:21" x14ac:dyDescent="0.35">
      <c r="A197" s="1">
        <v>196</v>
      </c>
      <c r="B197" s="8">
        <v>103</v>
      </c>
      <c r="C197" s="3" t="e">
        <f t="shared" si="47"/>
        <v>#VALUE!</v>
      </c>
      <c r="D197" s="8" t="e">
        <f t="shared" si="42"/>
        <v>#VALUE!</v>
      </c>
      <c r="E197" s="3" t="e">
        <f t="shared" si="48"/>
        <v>#VALUE!</v>
      </c>
      <c r="F197" s="8" t="e">
        <f t="shared" si="43"/>
        <v>#VALUE!</v>
      </c>
      <c r="G197" s="3" t="e">
        <f t="shared" si="44"/>
        <v>#VALUE!</v>
      </c>
      <c r="H197" s="3">
        <v>326</v>
      </c>
      <c r="I197" s="8" t="e">
        <f t="shared" si="45"/>
        <v>#VALUE!</v>
      </c>
      <c r="J197" s="3">
        <v>64617</v>
      </c>
      <c r="K197" s="3" t="e">
        <f t="shared" si="46"/>
        <v>#VALUE!</v>
      </c>
      <c r="L197" s="8" t="e">
        <f t="shared" si="49"/>
        <v>#VALUE!</v>
      </c>
      <c r="M197" s="8" t="e">
        <f t="shared" si="50"/>
        <v>#VALUE!</v>
      </c>
      <c r="N197" s="3" t="e">
        <f t="shared" si="51"/>
        <v>#VALUE!</v>
      </c>
      <c r="O197" s="3" t="e">
        <f t="shared" si="52"/>
        <v>#VALUE!</v>
      </c>
      <c r="P197" s="3">
        <v>695</v>
      </c>
      <c r="Q197" s="3">
        <v>225661</v>
      </c>
      <c r="R197" s="3">
        <v>4</v>
      </c>
      <c r="T197" t="e">
        <f t="shared" si="54"/>
        <v>#VALUE!</v>
      </c>
      <c r="U197" t="e">
        <f t="shared" si="53"/>
        <v>#VALUE!</v>
      </c>
    </row>
    <row r="198" spans="1:21" x14ac:dyDescent="0.35">
      <c r="A198" s="1">
        <v>197</v>
      </c>
      <c r="B198" s="8">
        <v>80</v>
      </c>
      <c r="C198" s="3" t="e">
        <f t="shared" si="47"/>
        <v>#VALUE!</v>
      </c>
      <c r="D198" s="8" t="e">
        <f t="shared" si="42"/>
        <v>#VALUE!</v>
      </c>
      <c r="E198" s="3" t="e">
        <f t="shared" si="48"/>
        <v>#VALUE!</v>
      </c>
      <c r="F198" s="8" t="e">
        <f t="shared" si="43"/>
        <v>#VALUE!</v>
      </c>
      <c r="G198" s="3" t="e">
        <f t="shared" si="44"/>
        <v>#VALUE!</v>
      </c>
      <c r="H198" s="3">
        <v>139</v>
      </c>
      <c r="I198" s="8" t="e">
        <f t="shared" si="45"/>
        <v>#VALUE!</v>
      </c>
      <c r="J198" s="3">
        <v>216681</v>
      </c>
      <c r="K198" s="3" t="e">
        <f t="shared" si="46"/>
        <v>#VALUE!</v>
      </c>
      <c r="L198" s="8" t="e">
        <f t="shared" si="49"/>
        <v>#VALUE!</v>
      </c>
      <c r="M198" s="8" t="e">
        <f t="shared" si="50"/>
        <v>#VALUE!</v>
      </c>
      <c r="N198" s="3" t="e">
        <f t="shared" si="51"/>
        <v>#VALUE!</v>
      </c>
      <c r="O198" s="3" t="e">
        <f t="shared" si="52"/>
        <v>#VALUE!</v>
      </c>
      <c r="P198" s="3">
        <v>852</v>
      </c>
      <c r="Q198" s="3">
        <v>270236</v>
      </c>
      <c r="R198" s="3">
        <v>5</v>
      </c>
      <c r="T198" t="e">
        <f t="shared" si="54"/>
        <v>#VALUE!</v>
      </c>
      <c r="U198" t="e">
        <f t="shared" si="53"/>
        <v>#VALUE!</v>
      </c>
    </row>
    <row r="199" spans="1:21" x14ac:dyDescent="0.35">
      <c r="A199" s="1">
        <v>198</v>
      </c>
      <c r="B199" s="8">
        <v>121</v>
      </c>
      <c r="C199" s="3" t="e">
        <f t="shared" si="47"/>
        <v>#VALUE!</v>
      </c>
      <c r="D199" s="8" t="e">
        <f t="shared" si="42"/>
        <v>#VALUE!</v>
      </c>
      <c r="E199" s="3" t="e">
        <f t="shared" si="48"/>
        <v>#VALUE!</v>
      </c>
      <c r="F199" s="8" t="e">
        <f t="shared" si="43"/>
        <v>#VALUE!</v>
      </c>
      <c r="G199" s="3" t="e">
        <f t="shared" si="44"/>
        <v>#VALUE!</v>
      </c>
      <c r="H199" s="3">
        <v>321</v>
      </c>
      <c r="I199" s="8" t="e">
        <f t="shared" si="45"/>
        <v>#VALUE!</v>
      </c>
      <c r="J199" s="3">
        <v>138915</v>
      </c>
      <c r="K199" s="3" t="e">
        <f t="shared" si="46"/>
        <v>#VALUE!</v>
      </c>
      <c r="L199" s="8" t="e">
        <f t="shared" si="49"/>
        <v>#VALUE!</v>
      </c>
      <c r="M199" s="8" t="e">
        <f t="shared" si="50"/>
        <v>#VALUE!</v>
      </c>
      <c r="N199" s="3" t="e">
        <f t="shared" si="51"/>
        <v>#VALUE!</v>
      </c>
      <c r="O199" s="3" t="e">
        <f t="shared" si="52"/>
        <v>#VALUE!</v>
      </c>
      <c r="P199" s="3">
        <v>748</v>
      </c>
      <c r="Q199" s="3">
        <v>252256</v>
      </c>
      <c r="R199" s="3">
        <v>5</v>
      </c>
      <c r="T199" t="e">
        <f t="shared" si="54"/>
        <v>#VALUE!</v>
      </c>
      <c r="U199" t="e">
        <f t="shared" si="53"/>
        <v>#VALUE!</v>
      </c>
    </row>
    <row r="200" spans="1:21" x14ac:dyDescent="0.35">
      <c r="A200" s="1">
        <v>199</v>
      </c>
      <c r="B200" s="8">
        <v>61</v>
      </c>
      <c r="C200" s="3" t="e">
        <f t="shared" si="47"/>
        <v>#VALUE!</v>
      </c>
      <c r="D200" s="8" t="e">
        <f t="shared" si="42"/>
        <v>#VALUE!</v>
      </c>
      <c r="E200" s="3" t="e">
        <f t="shared" si="48"/>
        <v>#VALUE!</v>
      </c>
      <c r="F200" s="8" t="e">
        <f t="shared" si="43"/>
        <v>#VALUE!</v>
      </c>
      <c r="G200" s="3" t="e">
        <f t="shared" si="44"/>
        <v>#VALUE!</v>
      </c>
      <c r="H200" s="3">
        <v>157</v>
      </c>
      <c r="I200" s="8" t="e">
        <f t="shared" si="45"/>
        <v>#VALUE!</v>
      </c>
      <c r="J200" s="3">
        <v>309423</v>
      </c>
      <c r="K200" s="3" t="e">
        <f t="shared" si="46"/>
        <v>#VALUE!</v>
      </c>
      <c r="L200" s="8" t="e">
        <f t="shared" si="49"/>
        <v>#VALUE!</v>
      </c>
      <c r="M200" s="8" t="e">
        <f t="shared" si="50"/>
        <v>#VALUE!</v>
      </c>
      <c r="N200" s="3" t="e">
        <f t="shared" si="51"/>
        <v>#VALUE!</v>
      </c>
      <c r="O200" s="3" t="e">
        <f t="shared" si="52"/>
        <v>#VALUE!</v>
      </c>
      <c r="P200" s="3">
        <v>825</v>
      </c>
      <c r="Q200" s="3">
        <v>186525</v>
      </c>
      <c r="R200" s="3">
        <v>3</v>
      </c>
      <c r="T200" t="e">
        <f t="shared" si="54"/>
        <v>#VALUE!</v>
      </c>
      <c r="U200" t="e">
        <f t="shared" si="53"/>
        <v>#VALUE!</v>
      </c>
    </row>
    <row r="201" spans="1:21" x14ac:dyDescent="0.35">
      <c r="A201" s="1">
        <v>200</v>
      </c>
      <c r="B201" s="8">
        <v>89</v>
      </c>
      <c r="C201" s="3" t="e">
        <f t="shared" si="47"/>
        <v>#VALUE!</v>
      </c>
      <c r="D201" s="8" t="e">
        <f t="shared" si="42"/>
        <v>#VALUE!</v>
      </c>
      <c r="E201" s="3" t="e">
        <f t="shared" si="48"/>
        <v>#VALUE!</v>
      </c>
      <c r="F201" s="8" t="e">
        <f t="shared" si="43"/>
        <v>#VALUE!</v>
      </c>
      <c r="G201" s="3" t="e">
        <f t="shared" si="44"/>
        <v>#VALUE!</v>
      </c>
      <c r="H201" s="3">
        <v>340</v>
      </c>
      <c r="I201" s="8" t="e">
        <f t="shared" si="45"/>
        <v>#VALUE!</v>
      </c>
      <c r="J201" s="3">
        <v>230925</v>
      </c>
      <c r="K201" s="3" t="e">
        <f t="shared" si="46"/>
        <v>#VALUE!</v>
      </c>
      <c r="L201" s="8" t="e">
        <f t="shared" si="49"/>
        <v>#VALUE!</v>
      </c>
      <c r="M201" s="8" t="e">
        <f t="shared" si="50"/>
        <v>#VALUE!</v>
      </c>
      <c r="N201" s="3" t="e">
        <f t="shared" si="51"/>
        <v>#VALUE!</v>
      </c>
      <c r="O201" s="3" t="e">
        <f t="shared" si="52"/>
        <v>#VALUE!</v>
      </c>
      <c r="P201" s="3">
        <v>894</v>
      </c>
      <c r="Q201" s="3">
        <v>149574</v>
      </c>
      <c r="R201" s="3">
        <v>3</v>
      </c>
      <c r="T201" t="e">
        <f t="shared" si="54"/>
        <v>#VALUE!</v>
      </c>
      <c r="U201" t="e">
        <f t="shared" si="53"/>
        <v>#VALUE!</v>
      </c>
    </row>
    <row r="202" spans="1:21" x14ac:dyDescent="0.35">
      <c r="A202" s="1">
        <v>201</v>
      </c>
      <c r="B202" s="8">
        <v>236</v>
      </c>
      <c r="C202" s="3" t="e">
        <f t="shared" si="47"/>
        <v>#VALUE!</v>
      </c>
      <c r="D202" s="8" t="e">
        <f t="shared" si="42"/>
        <v>#VALUE!</v>
      </c>
      <c r="E202" s="3" t="e">
        <f t="shared" si="48"/>
        <v>#VALUE!</v>
      </c>
      <c r="F202" s="8" t="e">
        <f t="shared" si="43"/>
        <v>#VALUE!</v>
      </c>
      <c r="G202" s="3" t="e">
        <f t="shared" si="44"/>
        <v>#VALUE!</v>
      </c>
      <c r="H202" s="3">
        <v>767</v>
      </c>
      <c r="I202" s="8" t="e">
        <f t="shared" si="45"/>
        <v>#VALUE!</v>
      </c>
      <c r="J202" s="3">
        <v>273025</v>
      </c>
      <c r="K202" s="3" t="e">
        <f t="shared" si="46"/>
        <v>#VALUE!</v>
      </c>
      <c r="L202" s="8" t="e">
        <f t="shared" si="49"/>
        <v>#VALUE!</v>
      </c>
      <c r="M202" s="8" t="e">
        <f t="shared" si="50"/>
        <v>#VALUE!</v>
      </c>
      <c r="N202" s="3" t="e">
        <f t="shared" si="51"/>
        <v>#VALUE!</v>
      </c>
      <c r="O202" s="3" t="e">
        <f t="shared" si="52"/>
        <v>#VALUE!</v>
      </c>
      <c r="P202" s="3">
        <v>637</v>
      </c>
      <c r="Q202" s="3">
        <v>116200</v>
      </c>
      <c r="R202" s="3">
        <v>3</v>
      </c>
      <c r="T202" t="e">
        <f t="shared" si="54"/>
        <v>#VALUE!</v>
      </c>
      <c r="U202" t="e">
        <f t="shared" si="53"/>
        <v>#VALUE!</v>
      </c>
    </row>
    <row r="203" spans="1:21" x14ac:dyDescent="0.35">
      <c r="A203" s="1">
        <v>202</v>
      </c>
      <c r="B203" s="8">
        <v>13</v>
      </c>
      <c r="C203" s="3" t="e">
        <f t="shared" si="47"/>
        <v>#VALUE!</v>
      </c>
      <c r="D203" s="8" t="e">
        <f t="shared" si="42"/>
        <v>#VALUE!</v>
      </c>
      <c r="E203" s="3" t="e">
        <f t="shared" si="48"/>
        <v>#VALUE!</v>
      </c>
      <c r="F203" s="8" t="e">
        <f t="shared" si="43"/>
        <v>#VALUE!</v>
      </c>
      <c r="G203" s="3" t="e">
        <f t="shared" si="44"/>
        <v>#VALUE!</v>
      </c>
      <c r="H203" s="3">
        <v>372</v>
      </c>
      <c r="I203" s="8" t="e">
        <f t="shared" si="45"/>
        <v>#VALUE!</v>
      </c>
      <c r="J203" s="3">
        <v>276713</v>
      </c>
      <c r="K203" s="3" t="e">
        <f t="shared" si="46"/>
        <v>#VALUE!</v>
      </c>
      <c r="L203" s="8" t="e">
        <f t="shared" si="49"/>
        <v>#VALUE!</v>
      </c>
      <c r="M203" s="8" t="e">
        <f t="shared" si="50"/>
        <v>#VALUE!</v>
      </c>
      <c r="N203" s="3" t="e">
        <f t="shared" si="51"/>
        <v>#VALUE!</v>
      </c>
      <c r="O203" s="3" t="e">
        <f t="shared" si="52"/>
        <v>#VALUE!</v>
      </c>
      <c r="P203" s="3">
        <v>633</v>
      </c>
      <c r="Q203" s="3">
        <v>226512</v>
      </c>
      <c r="R203" s="3">
        <v>3</v>
      </c>
      <c r="T203" t="e">
        <f t="shared" si="54"/>
        <v>#VALUE!</v>
      </c>
      <c r="U203" t="e">
        <f t="shared" si="53"/>
        <v>#VALUE!</v>
      </c>
    </row>
    <row r="204" spans="1:21" x14ac:dyDescent="0.35">
      <c r="A204" s="1">
        <v>203</v>
      </c>
      <c r="B204" s="8">
        <v>81</v>
      </c>
      <c r="C204" s="3" t="e">
        <f t="shared" si="47"/>
        <v>#VALUE!</v>
      </c>
      <c r="D204" s="8" t="e">
        <f t="shared" si="42"/>
        <v>#VALUE!</v>
      </c>
      <c r="E204" s="3" t="e">
        <f t="shared" si="48"/>
        <v>#VALUE!</v>
      </c>
      <c r="F204" s="8" t="e">
        <f t="shared" si="43"/>
        <v>#VALUE!</v>
      </c>
      <c r="G204" s="3" t="e">
        <f t="shared" si="44"/>
        <v>#VALUE!</v>
      </c>
      <c r="H204" s="3">
        <v>275</v>
      </c>
      <c r="I204" s="8" t="e">
        <f t="shared" si="45"/>
        <v>#VALUE!</v>
      </c>
      <c r="J204" s="3">
        <v>201386</v>
      </c>
      <c r="K204" s="3" t="e">
        <f t="shared" si="46"/>
        <v>#VALUE!</v>
      </c>
      <c r="L204" s="8" t="e">
        <f t="shared" si="49"/>
        <v>#VALUE!</v>
      </c>
      <c r="M204" s="8" t="e">
        <f t="shared" si="50"/>
        <v>#VALUE!</v>
      </c>
      <c r="N204" s="3" t="e">
        <f t="shared" si="51"/>
        <v>#VALUE!</v>
      </c>
      <c r="O204" s="3" t="e">
        <f t="shared" si="52"/>
        <v>#VALUE!</v>
      </c>
      <c r="P204" s="3">
        <v>598</v>
      </c>
      <c r="Q204" s="3">
        <v>255041</v>
      </c>
      <c r="R204" s="3">
        <v>5</v>
      </c>
      <c r="T204" t="e">
        <f t="shared" si="54"/>
        <v>#VALUE!</v>
      </c>
      <c r="U204" t="e">
        <f t="shared" si="53"/>
        <v>#VALUE!</v>
      </c>
    </row>
    <row r="205" spans="1:21" x14ac:dyDescent="0.35">
      <c r="A205" s="1">
        <v>204</v>
      </c>
      <c r="B205" s="8">
        <v>48</v>
      </c>
      <c r="C205" s="3" t="e">
        <f t="shared" si="47"/>
        <v>#VALUE!</v>
      </c>
      <c r="D205" s="8" t="e">
        <f t="shared" si="42"/>
        <v>#VALUE!</v>
      </c>
      <c r="E205" s="3" t="e">
        <f t="shared" si="48"/>
        <v>#VALUE!</v>
      </c>
      <c r="F205" s="8" t="e">
        <f t="shared" si="43"/>
        <v>#VALUE!</v>
      </c>
      <c r="G205" s="3" t="e">
        <f t="shared" si="44"/>
        <v>#VALUE!</v>
      </c>
      <c r="H205" s="3">
        <v>341</v>
      </c>
      <c r="I205" s="8" t="e">
        <f t="shared" si="45"/>
        <v>#VALUE!</v>
      </c>
      <c r="J205" s="3">
        <v>200049</v>
      </c>
      <c r="K205" s="3" t="e">
        <f t="shared" si="46"/>
        <v>#VALUE!</v>
      </c>
      <c r="L205" s="8" t="e">
        <f t="shared" si="49"/>
        <v>#VALUE!</v>
      </c>
      <c r="M205" s="8" t="e">
        <f t="shared" si="50"/>
        <v>#VALUE!</v>
      </c>
      <c r="N205" s="3" t="e">
        <f t="shared" si="51"/>
        <v>#VALUE!</v>
      </c>
      <c r="O205" s="3" t="e">
        <f t="shared" si="52"/>
        <v>#VALUE!</v>
      </c>
      <c r="P205" s="3">
        <v>656</v>
      </c>
      <c r="Q205" s="3">
        <v>251334</v>
      </c>
      <c r="R205" s="3">
        <v>4</v>
      </c>
      <c r="T205" t="e">
        <f t="shared" si="54"/>
        <v>#VALUE!</v>
      </c>
      <c r="U205" t="e">
        <f t="shared" si="53"/>
        <v>#VALUE!</v>
      </c>
    </row>
    <row r="206" spans="1:21" x14ac:dyDescent="0.35">
      <c r="A206" s="1">
        <v>205</v>
      </c>
      <c r="B206" s="8">
        <v>96</v>
      </c>
      <c r="C206" s="3" t="e">
        <f t="shared" si="47"/>
        <v>#VALUE!</v>
      </c>
      <c r="D206" s="8" t="e">
        <f t="shared" si="42"/>
        <v>#VALUE!</v>
      </c>
      <c r="E206" s="3" t="e">
        <f t="shared" si="48"/>
        <v>#VALUE!</v>
      </c>
      <c r="F206" s="8" t="e">
        <f t="shared" si="43"/>
        <v>#VALUE!</v>
      </c>
      <c r="G206" s="3" t="e">
        <f t="shared" si="44"/>
        <v>#VALUE!</v>
      </c>
      <c r="H206" s="3">
        <v>460</v>
      </c>
      <c r="I206" s="8" t="e">
        <f t="shared" si="45"/>
        <v>#VALUE!</v>
      </c>
      <c r="J206" s="3">
        <v>113667</v>
      </c>
      <c r="K206" s="3" t="e">
        <f t="shared" si="46"/>
        <v>#VALUE!</v>
      </c>
      <c r="L206" s="8" t="e">
        <f t="shared" si="49"/>
        <v>#VALUE!</v>
      </c>
      <c r="M206" s="8" t="e">
        <f t="shared" si="50"/>
        <v>#VALUE!</v>
      </c>
      <c r="N206" s="3" t="e">
        <f t="shared" si="51"/>
        <v>#VALUE!</v>
      </c>
      <c r="O206" s="3" t="e">
        <f t="shared" si="52"/>
        <v>#VALUE!</v>
      </c>
      <c r="P206" s="3">
        <v>710</v>
      </c>
      <c r="Q206" s="3">
        <v>270810</v>
      </c>
      <c r="R206" s="3">
        <v>4</v>
      </c>
      <c r="T206" t="e">
        <f t="shared" si="54"/>
        <v>#VALUE!</v>
      </c>
      <c r="U206" t="e">
        <f t="shared" si="53"/>
        <v>#VALUE!</v>
      </c>
    </row>
    <row r="207" spans="1:21" x14ac:dyDescent="0.35">
      <c r="A207" s="1">
        <v>206</v>
      </c>
      <c r="B207" s="8">
        <v>63</v>
      </c>
      <c r="C207" s="3" t="e">
        <f t="shared" si="47"/>
        <v>#VALUE!</v>
      </c>
      <c r="D207" s="8" t="e">
        <f t="shared" si="42"/>
        <v>#VALUE!</v>
      </c>
      <c r="E207" s="3" t="e">
        <f t="shared" si="48"/>
        <v>#VALUE!</v>
      </c>
      <c r="F207" s="8" t="e">
        <f t="shared" si="43"/>
        <v>#VALUE!</v>
      </c>
      <c r="G207" s="3" t="e">
        <f t="shared" si="44"/>
        <v>#VALUE!</v>
      </c>
      <c r="H207" s="3">
        <v>472</v>
      </c>
      <c r="I207" s="8" t="e">
        <f t="shared" si="45"/>
        <v>#VALUE!</v>
      </c>
      <c r="J207" s="3">
        <v>186949</v>
      </c>
      <c r="K207" s="3" t="e">
        <f t="shared" si="46"/>
        <v>#VALUE!</v>
      </c>
      <c r="L207" s="8" t="e">
        <f t="shared" si="49"/>
        <v>#VALUE!</v>
      </c>
      <c r="M207" s="8" t="e">
        <f t="shared" si="50"/>
        <v>#VALUE!</v>
      </c>
      <c r="N207" s="3" t="e">
        <f t="shared" si="51"/>
        <v>#VALUE!</v>
      </c>
      <c r="O207" s="3" t="e">
        <f t="shared" si="52"/>
        <v>#VALUE!</v>
      </c>
      <c r="P207" s="3">
        <v>746</v>
      </c>
      <c r="Q207" s="3">
        <v>225047</v>
      </c>
      <c r="R207" s="3">
        <v>5</v>
      </c>
      <c r="T207" t="e">
        <f t="shared" si="54"/>
        <v>#VALUE!</v>
      </c>
      <c r="U207" t="e">
        <f t="shared" si="53"/>
        <v>#VALUE!</v>
      </c>
    </row>
    <row r="208" spans="1:21" x14ac:dyDescent="0.35">
      <c r="A208" s="1">
        <v>207</v>
      </c>
      <c r="B208" s="8">
        <v>264</v>
      </c>
      <c r="C208" s="3" t="e">
        <f t="shared" si="47"/>
        <v>#VALUE!</v>
      </c>
      <c r="D208" s="8" t="e">
        <f t="shared" si="42"/>
        <v>#VALUE!</v>
      </c>
      <c r="E208" s="3" t="e">
        <f t="shared" si="48"/>
        <v>#VALUE!</v>
      </c>
      <c r="F208" s="8" t="e">
        <f t="shared" si="43"/>
        <v>#VALUE!</v>
      </c>
      <c r="G208" s="3" t="e">
        <f t="shared" si="44"/>
        <v>#VALUE!</v>
      </c>
      <c r="H208" s="3">
        <v>831</v>
      </c>
      <c r="I208" s="8" t="e">
        <f t="shared" si="45"/>
        <v>#VALUE!</v>
      </c>
      <c r="J208" s="3">
        <v>326087</v>
      </c>
      <c r="K208" s="3" t="e">
        <f t="shared" si="46"/>
        <v>#VALUE!</v>
      </c>
      <c r="L208" s="8" t="e">
        <f t="shared" si="49"/>
        <v>#VALUE!</v>
      </c>
      <c r="M208" s="8" t="e">
        <f t="shared" si="50"/>
        <v>#VALUE!</v>
      </c>
      <c r="N208" s="3" t="e">
        <f t="shared" si="51"/>
        <v>#VALUE!</v>
      </c>
      <c r="O208" s="3" t="e">
        <f t="shared" si="52"/>
        <v>#VALUE!</v>
      </c>
      <c r="P208" s="3">
        <v>657</v>
      </c>
      <c r="Q208" s="3">
        <v>192298</v>
      </c>
      <c r="R208" s="3">
        <v>3</v>
      </c>
      <c r="T208" t="e">
        <f t="shared" si="54"/>
        <v>#VALUE!</v>
      </c>
      <c r="U208" t="e">
        <f t="shared" si="53"/>
        <v>#VALUE!</v>
      </c>
    </row>
    <row r="209" spans="1:21" x14ac:dyDescent="0.35">
      <c r="A209" s="1">
        <v>208</v>
      </c>
      <c r="B209" s="8">
        <v>279</v>
      </c>
      <c r="C209" s="3" t="e">
        <f t="shared" si="47"/>
        <v>#VALUE!</v>
      </c>
      <c r="D209" s="8" t="e">
        <f t="shared" si="42"/>
        <v>#VALUE!</v>
      </c>
      <c r="E209" s="3" t="e">
        <f t="shared" si="48"/>
        <v>#VALUE!</v>
      </c>
      <c r="F209" s="8" t="e">
        <f t="shared" si="43"/>
        <v>#VALUE!</v>
      </c>
      <c r="G209" s="3" t="e">
        <f t="shared" si="44"/>
        <v>#VALUE!</v>
      </c>
      <c r="H209" s="3">
        <v>671</v>
      </c>
      <c r="I209" s="8" t="e">
        <f t="shared" si="45"/>
        <v>#VALUE!</v>
      </c>
      <c r="J209" s="3">
        <v>290329</v>
      </c>
      <c r="K209" s="3" t="e">
        <f t="shared" si="46"/>
        <v>#VALUE!</v>
      </c>
      <c r="L209" s="8" t="e">
        <f t="shared" si="49"/>
        <v>#VALUE!</v>
      </c>
      <c r="M209" s="8" t="e">
        <f t="shared" si="50"/>
        <v>#VALUE!</v>
      </c>
      <c r="N209" s="3" t="e">
        <f t="shared" si="51"/>
        <v>#VALUE!</v>
      </c>
      <c r="O209" s="3" t="e">
        <f t="shared" si="52"/>
        <v>#VALUE!</v>
      </c>
      <c r="P209" s="3">
        <v>802</v>
      </c>
      <c r="Q209" s="3">
        <v>260339</v>
      </c>
      <c r="R209" s="3">
        <v>4</v>
      </c>
      <c r="T209" t="e">
        <f t="shared" si="54"/>
        <v>#VALUE!</v>
      </c>
      <c r="U209" t="e">
        <f t="shared" si="53"/>
        <v>#VALUE!</v>
      </c>
    </row>
    <row r="210" spans="1:21" x14ac:dyDescent="0.35">
      <c r="A210" s="1">
        <v>209</v>
      </c>
      <c r="B210" s="8">
        <v>107</v>
      </c>
      <c r="C210" s="3" t="e">
        <f t="shared" si="47"/>
        <v>#VALUE!</v>
      </c>
      <c r="D210" s="8" t="e">
        <f t="shared" si="42"/>
        <v>#VALUE!</v>
      </c>
      <c r="E210" s="3" t="e">
        <f t="shared" si="48"/>
        <v>#VALUE!</v>
      </c>
      <c r="F210" s="8" t="e">
        <f t="shared" si="43"/>
        <v>#VALUE!</v>
      </c>
      <c r="G210" s="3" t="e">
        <f t="shared" si="44"/>
        <v>#VALUE!</v>
      </c>
      <c r="H210" s="3">
        <v>223</v>
      </c>
      <c r="I210" s="8" t="e">
        <f t="shared" si="45"/>
        <v>#VALUE!</v>
      </c>
      <c r="J210" s="3">
        <v>97092</v>
      </c>
      <c r="K210" s="3" t="e">
        <f t="shared" si="46"/>
        <v>#VALUE!</v>
      </c>
      <c r="L210" s="8" t="e">
        <f t="shared" si="49"/>
        <v>#VALUE!</v>
      </c>
      <c r="M210" s="8" t="e">
        <f t="shared" si="50"/>
        <v>#VALUE!</v>
      </c>
      <c r="N210" s="3" t="e">
        <f t="shared" si="51"/>
        <v>#VALUE!</v>
      </c>
      <c r="O210" s="3" t="e">
        <f t="shared" si="52"/>
        <v>#VALUE!</v>
      </c>
      <c r="P210" s="3">
        <v>826</v>
      </c>
      <c r="Q210" s="3">
        <v>182142</v>
      </c>
      <c r="R210" s="3">
        <v>3</v>
      </c>
      <c r="T210" t="e">
        <f t="shared" si="54"/>
        <v>#VALUE!</v>
      </c>
      <c r="U210" t="e">
        <f t="shared" si="53"/>
        <v>#VALUE!</v>
      </c>
    </row>
    <row r="211" spans="1:21" x14ac:dyDescent="0.35">
      <c r="A211" s="1">
        <v>210</v>
      </c>
      <c r="B211" s="8">
        <v>190</v>
      </c>
      <c r="C211" s="3" t="e">
        <f t="shared" si="47"/>
        <v>#VALUE!</v>
      </c>
      <c r="D211" s="8" t="e">
        <f t="shared" si="42"/>
        <v>#VALUE!</v>
      </c>
      <c r="E211" s="3" t="e">
        <f t="shared" si="48"/>
        <v>#VALUE!</v>
      </c>
      <c r="F211" s="8" t="e">
        <f t="shared" si="43"/>
        <v>#VALUE!</v>
      </c>
      <c r="G211" s="3" t="e">
        <f t="shared" si="44"/>
        <v>#VALUE!</v>
      </c>
      <c r="H211" s="3">
        <v>678</v>
      </c>
      <c r="I211" s="8" t="e">
        <f t="shared" si="45"/>
        <v>#VALUE!</v>
      </c>
      <c r="J211" s="3">
        <v>122300</v>
      </c>
      <c r="K211" s="3" t="e">
        <f t="shared" si="46"/>
        <v>#VALUE!</v>
      </c>
      <c r="L211" s="8" t="e">
        <f t="shared" si="49"/>
        <v>#VALUE!</v>
      </c>
      <c r="M211" s="8" t="e">
        <f t="shared" si="50"/>
        <v>#VALUE!</v>
      </c>
      <c r="N211" s="3" t="e">
        <f t="shared" si="51"/>
        <v>#VALUE!</v>
      </c>
      <c r="O211" s="3" t="e">
        <f t="shared" si="52"/>
        <v>#VALUE!</v>
      </c>
      <c r="P211" s="3">
        <v>681</v>
      </c>
      <c r="Q211" s="3">
        <v>213987</v>
      </c>
      <c r="R211" s="3">
        <v>4</v>
      </c>
      <c r="T211" t="e">
        <f t="shared" si="54"/>
        <v>#VALUE!</v>
      </c>
      <c r="U211" t="e">
        <f t="shared" si="53"/>
        <v>#VALUE!</v>
      </c>
    </row>
    <row r="212" spans="1:21" x14ac:dyDescent="0.35">
      <c r="A212" s="1">
        <v>211</v>
      </c>
      <c r="B212" s="8">
        <v>255</v>
      </c>
      <c r="C212" s="3" t="e">
        <f t="shared" si="47"/>
        <v>#VALUE!</v>
      </c>
      <c r="D212" s="8" t="e">
        <f t="shared" si="42"/>
        <v>#VALUE!</v>
      </c>
      <c r="E212" s="3" t="e">
        <f t="shared" si="48"/>
        <v>#VALUE!</v>
      </c>
      <c r="F212" s="8" t="e">
        <f t="shared" si="43"/>
        <v>#VALUE!</v>
      </c>
      <c r="G212" s="3" t="e">
        <f t="shared" si="44"/>
        <v>#VALUE!</v>
      </c>
      <c r="H212" s="3">
        <v>776</v>
      </c>
      <c r="I212" s="8" t="e">
        <f t="shared" si="45"/>
        <v>#VALUE!</v>
      </c>
      <c r="J212" s="3">
        <v>158520</v>
      </c>
      <c r="K212" s="3" t="e">
        <f t="shared" si="46"/>
        <v>#VALUE!</v>
      </c>
      <c r="L212" s="8" t="e">
        <f t="shared" si="49"/>
        <v>#VALUE!</v>
      </c>
      <c r="M212" s="8" t="e">
        <f t="shared" si="50"/>
        <v>#VALUE!</v>
      </c>
      <c r="N212" s="3" t="e">
        <f t="shared" si="51"/>
        <v>#VALUE!</v>
      </c>
      <c r="O212" s="3" t="e">
        <f t="shared" si="52"/>
        <v>#VALUE!</v>
      </c>
      <c r="P212" s="3">
        <v>496</v>
      </c>
      <c r="Q212" s="3">
        <v>218800</v>
      </c>
      <c r="R212" s="3">
        <v>3</v>
      </c>
      <c r="T212" t="e">
        <f t="shared" si="54"/>
        <v>#VALUE!</v>
      </c>
      <c r="U212" t="e">
        <f t="shared" si="53"/>
        <v>#VALUE!</v>
      </c>
    </row>
    <row r="213" spans="1:21" x14ac:dyDescent="0.35">
      <c r="A213" s="1">
        <v>212</v>
      </c>
      <c r="B213" s="8">
        <v>2</v>
      </c>
      <c r="C213" s="3" t="e">
        <f t="shared" si="47"/>
        <v>#VALUE!</v>
      </c>
      <c r="D213" s="8" t="e">
        <f t="shared" si="42"/>
        <v>#VALUE!</v>
      </c>
      <c r="E213" s="3" t="e">
        <f t="shared" si="48"/>
        <v>#VALUE!</v>
      </c>
      <c r="F213" s="8" t="e">
        <f t="shared" si="43"/>
        <v>#VALUE!</v>
      </c>
      <c r="G213" s="3" t="e">
        <f t="shared" si="44"/>
        <v>#VALUE!</v>
      </c>
      <c r="H213" s="3">
        <v>413</v>
      </c>
      <c r="I213" s="8" t="e">
        <f t="shared" si="45"/>
        <v>#VALUE!</v>
      </c>
      <c r="J213" s="3">
        <v>279949</v>
      </c>
      <c r="K213" s="3" t="e">
        <f t="shared" si="46"/>
        <v>#VALUE!</v>
      </c>
      <c r="L213" s="8" t="e">
        <f t="shared" si="49"/>
        <v>#VALUE!</v>
      </c>
      <c r="M213" s="8" t="e">
        <f t="shared" si="50"/>
        <v>#VALUE!</v>
      </c>
      <c r="N213" s="3" t="e">
        <f t="shared" si="51"/>
        <v>#VALUE!</v>
      </c>
      <c r="O213" s="3" t="e">
        <f t="shared" si="52"/>
        <v>#VALUE!</v>
      </c>
      <c r="P213" s="3">
        <v>702</v>
      </c>
      <c r="Q213" s="3">
        <v>155095</v>
      </c>
      <c r="R213" s="3">
        <v>4</v>
      </c>
      <c r="T213" t="e">
        <f t="shared" si="54"/>
        <v>#VALUE!</v>
      </c>
      <c r="U213" t="e">
        <f t="shared" si="53"/>
        <v>#VALUE!</v>
      </c>
    </row>
    <row r="214" spans="1:21" x14ac:dyDescent="0.35">
      <c r="A214" s="1">
        <v>213</v>
      </c>
      <c r="B214" s="8">
        <v>116</v>
      </c>
      <c r="C214" s="3" t="e">
        <f t="shared" si="47"/>
        <v>#VALUE!</v>
      </c>
      <c r="D214" s="8" t="e">
        <f t="shared" si="42"/>
        <v>#VALUE!</v>
      </c>
      <c r="E214" s="3" t="e">
        <f t="shared" si="48"/>
        <v>#VALUE!</v>
      </c>
      <c r="F214" s="8" t="e">
        <f t="shared" si="43"/>
        <v>#VALUE!</v>
      </c>
      <c r="G214" s="3" t="e">
        <f t="shared" si="44"/>
        <v>#VALUE!</v>
      </c>
      <c r="H214" s="3">
        <v>236</v>
      </c>
      <c r="I214" s="8" t="e">
        <f t="shared" si="45"/>
        <v>#VALUE!</v>
      </c>
      <c r="J214" s="3">
        <v>257201</v>
      </c>
      <c r="K214" s="3" t="e">
        <f t="shared" si="46"/>
        <v>#VALUE!</v>
      </c>
      <c r="L214" s="8" t="e">
        <f t="shared" si="49"/>
        <v>#VALUE!</v>
      </c>
      <c r="M214" s="8" t="e">
        <f t="shared" si="50"/>
        <v>#VALUE!</v>
      </c>
      <c r="N214" s="3" t="e">
        <f t="shared" si="51"/>
        <v>#VALUE!</v>
      </c>
      <c r="O214" s="3" t="e">
        <f t="shared" si="52"/>
        <v>#VALUE!</v>
      </c>
      <c r="P214" s="3">
        <v>620</v>
      </c>
      <c r="Q214" s="3">
        <v>302192</v>
      </c>
      <c r="R214" s="3">
        <v>4</v>
      </c>
      <c r="T214" t="e">
        <f t="shared" si="54"/>
        <v>#VALUE!</v>
      </c>
      <c r="U214" t="e">
        <f t="shared" si="53"/>
        <v>#VALUE!</v>
      </c>
    </row>
    <row r="215" spans="1:21" x14ac:dyDescent="0.35">
      <c r="A215" s="1">
        <v>214</v>
      </c>
      <c r="B215" s="8">
        <v>239</v>
      </c>
      <c r="C215" s="3" t="e">
        <f t="shared" si="47"/>
        <v>#VALUE!</v>
      </c>
      <c r="D215" s="8" t="e">
        <f t="shared" si="42"/>
        <v>#VALUE!</v>
      </c>
      <c r="E215" s="3" t="e">
        <f t="shared" si="48"/>
        <v>#VALUE!</v>
      </c>
      <c r="F215" s="8" t="e">
        <f t="shared" si="43"/>
        <v>#VALUE!</v>
      </c>
      <c r="G215" s="3" t="e">
        <f t="shared" si="44"/>
        <v>#VALUE!</v>
      </c>
      <c r="H215" s="3">
        <v>752</v>
      </c>
      <c r="I215" s="8" t="e">
        <f t="shared" si="45"/>
        <v>#VALUE!</v>
      </c>
      <c r="J215" s="3">
        <v>175666</v>
      </c>
      <c r="K215" s="3" t="e">
        <f t="shared" si="46"/>
        <v>#VALUE!</v>
      </c>
      <c r="L215" s="8" t="e">
        <f t="shared" si="49"/>
        <v>#VALUE!</v>
      </c>
      <c r="M215" s="8" t="e">
        <f t="shared" si="50"/>
        <v>#VALUE!</v>
      </c>
      <c r="N215" s="3" t="e">
        <f t="shared" si="51"/>
        <v>#VALUE!</v>
      </c>
      <c r="O215" s="3" t="e">
        <f t="shared" si="52"/>
        <v>#VALUE!</v>
      </c>
      <c r="P215" s="3">
        <v>835</v>
      </c>
      <c r="Q215" s="3">
        <v>242298</v>
      </c>
      <c r="R215" s="3">
        <v>3</v>
      </c>
      <c r="T215" t="e">
        <f t="shared" si="54"/>
        <v>#VALUE!</v>
      </c>
      <c r="U215" t="e">
        <f t="shared" si="53"/>
        <v>#VALUE!</v>
      </c>
    </row>
    <row r="216" spans="1:21" x14ac:dyDescent="0.35">
      <c r="A216" s="1">
        <v>215</v>
      </c>
      <c r="B216" s="8">
        <v>171</v>
      </c>
      <c r="C216" s="3" t="e">
        <f t="shared" si="47"/>
        <v>#VALUE!</v>
      </c>
      <c r="D216" s="8" t="e">
        <f t="shared" si="42"/>
        <v>#VALUE!</v>
      </c>
      <c r="E216" s="3" t="e">
        <f t="shared" si="48"/>
        <v>#VALUE!</v>
      </c>
      <c r="F216" s="8" t="e">
        <f t="shared" si="43"/>
        <v>#VALUE!</v>
      </c>
      <c r="G216" s="3" t="e">
        <f t="shared" si="44"/>
        <v>#VALUE!</v>
      </c>
      <c r="H216" s="3">
        <v>705</v>
      </c>
      <c r="I216" s="8" t="e">
        <f t="shared" si="45"/>
        <v>#VALUE!</v>
      </c>
      <c r="J216" s="3">
        <v>205407</v>
      </c>
      <c r="K216" s="3" t="e">
        <f t="shared" si="46"/>
        <v>#VALUE!</v>
      </c>
      <c r="L216" s="8" t="e">
        <f t="shared" si="49"/>
        <v>#VALUE!</v>
      </c>
      <c r="M216" s="8" t="e">
        <f t="shared" si="50"/>
        <v>#VALUE!</v>
      </c>
      <c r="N216" s="3" t="e">
        <f t="shared" si="51"/>
        <v>#VALUE!</v>
      </c>
      <c r="O216" s="3" t="e">
        <f t="shared" si="52"/>
        <v>#VALUE!</v>
      </c>
      <c r="P216" s="3">
        <v>719</v>
      </c>
      <c r="Q216" s="3">
        <v>237644</v>
      </c>
      <c r="R216" s="3">
        <v>4</v>
      </c>
      <c r="T216" t="e">
        <f t="shared" si="54"/>
        <v>#VALUE!</v>
      </c>
      <c r="U216" t="e">
        <f t="shared" si="53"/>
        <v>#VALUE!</v>
      </c>
    </row>
    <row r="217" spans="1:21" x14ac:dyDescent="0.35">
      <c r="A217" s="1">
        <v>216</v>
      </c>
      <c r="B217" s="8">
        <v>36</v>
      </c>
      <c r="C217" s="3" t="e">
        <f t="shared" si="47"/>
        <v>#VALUE!</v>
      </c>
      <c r="D217" s="8" t="e">
        <f t="shared" si="42"/>
        <v>#VALUE!</v>
      </c>
      <c r="E217" s="3" t="e">
        <f t="shared" si="48"/>
        <v>#VALUE!</v>
      </c>
      <c r="F217" s="8" t="e">
        <f t="shared" si="43"/>
        <v>#VALUE!</v>
      </c>
      <c r="G217" s="3" t="e">
        <f t="shared" si="44"/>
        <v>#VALUE!</v>
      </c>
      <c r="H217" s="3">
        <v>446</v>
      </c>
      <c r="I217" s="8" t="e">
        <f t="shared" si="45"/>
        <v>#VALUE!</v>
      </c>
      <c r="J217" s="3">
        <v>229388</v>
      </c>
      <c r="K217" s="3" t="e">
        <f t="shared" si="46"/>
        <v>#VALUE!</v>
      </c>
      <c r="L217" s="8" t="e">
        <f t="shared" si="49"/>
        <v>#VALUE!</v>
      </c>
      <c r="M217" s="8" t="e">
        <f t="shared" si="50"/>
        <v>#VALUE!</v>
      </c>
      <c r="N217" s="3" t="e">
        <f t="shared" si="51"/>
        <v>#VALUE!</v>
      </c>
      <c r="O217" s="3" t="e">
        <f t="shared" si="52"/>
        <v>#VALUE!</v>
      </c>
      <c r="P217" s="3">
        <v>629</v>
      </c>
      <c r="Q217" s="3">
        <v>219424</v>
      </c>
      <c r="R217" s="3">
        <v>5</v>
      </c>
      <c r="T217" t="e">
        <f t="shared" si="54"/>
        <v>#VALUE!</v>
      </c>
      <c r="U217" t="e">
        <f t="shared" si="53"/>
        <v>#VALUE!</v>
      </c>
    </row>
    <row r="218" spans="1:21" x14ac:dyDescent="0.35">
      <c r="A218" s="1">
        <v>217</v>
      </c>
      <c r="B218" s="8">
        <v>151</v>
      </c>
      <c r="C218" s="3" t="e">
        <f t="shared" si="47"/>
        <v>#VALUE!</v>
      </c>
      <c r="D218" s="8" t="e">
        <f t="shared" si="42"/>
        <v>#VALUE!</v>
      </c>
      <c r="E218" s="3" t="e">
        <f t="shared" si="48"/>
        <v>#VALUE!</v>
      </c>
      <c r="F218" s="8" t="e">
        <f t="shared" si="43"/>
        <v>#VALUE!</v>
      </c>
      <c r="G218" s="3" t="e">
        <f t="shared" si="44"/>
        <v>#VALUE!</v>
      </c>
      <c r="H218" s="3">
        <v>347</v>
      </c>
      <c r="I218" s="8" t="e">
        <f t="shared" si="45"/>
        <v>#VALUE!</v>
      </c>
      <c r="J218" s="3">
        <v>178050</v>
      </c>
      <c r="K218" s="3" t="e">
        <f t="shared" si="46"/>
        <v>#VALUE!</v>
      </c>
      <c r="L218" s="8" t="e">
        <f t="shared" si="49"/>
        <v>#VALUE!</v>
      </c>
      <c r="M218" s="8" t="e">
        <f t="shared" si="50"/>
        <v>#VALUE!</v>
      </c>
      <c r="N218" s="3" t="e">
        <f t="shared" si="51"/>
        <v>#VALUE!</v>
      </c>
      <c r="O218" s="3" t="e">
        <f t="shared" si="52"/>
        <v>#VALUE!</v>
      </c>
      <c r="P218" s="3">
        <v>894</v>
      </c>
      <c r="Q218" s="3">
        <v>171289</v>
      </c>
      <c r="R218" s="3">
        <v>3</v>
      </c>
      <c r="T218" t="e">
        <f t="shared" si="54"/>
        <v>#VALUE!</v>
      </c>
      <c r="U218" t="e">
        <f t="shared" si="53"/>
        <v>#VALUE!</v>
      </c>
    </row>
    <row r="219" spans="1:21" x14ac:dyDescent="0.35">
      <c r="A219" s="1">
        <v>218</v>
      </c>
      <c r="B219" s="8">
        <v>127</v>
      </c>
      <c r="C219" s="3" t="e">
        <f t="shared" si="47"/>
        <v>#VALUE!</v>
      </c>
      <c r="D219" s="8" t="e">
        <f t="shared" si="42"/>
        <v>#VALUE!</v>
      </c>
      <c r="E219" s="3" t="e">
        <f t="shared" si="48"/>
        <v>#VALUE!</v>
      </c>
      <c r="F219" s="8" t="e">
        <f t="shared" si="43"/>
        <v>#VALUE!</v>
      </c>
      <c r="G219" s="3" t="e">
        <f t="shared" si="44"/>
        <v>#VALUE!</v>
      </c>
      <c r="H219" s="3">
        <v>200</v>
      </c>
      <c r="I219" s="8" t="e">
        <f t="shared" si="45"/>
        <v>#VALUE!</v>
      </c>
      <c r="J219" s="3">
        <v>106727</v>
      </c>
      <c r="K219" s="3" t="e">
        <f t="shared" si="46"/>
        <v>#VALUE!</v>
      </c>
      <c r="L219" s="8" t="e">
        <f t="shared" si="49"/>
        <v>#VALUE!</v>
      </c>
      <c r="M219" s="8" t="e">
        <f t="shared" si="50"/>
        <v>#VALUE!</v>
      </c>
      <c r="N219" s="3" t="e">
        <f t="shared" si="51"/>
        <v>#VALUE!</v>
      </c>
      <c r="O219" s="3" t="e">
        <f t="shared" si="52"/>
        <v>#VALUE!</v>
      </c>
      <c r="P219" s="3">
        <v>773</v>
      </c>
      <c r="Q219" s="3">
        <v>130673</v>
      </c>
      <c r="R219" s="3">
        <v>4</v>
      </c>
      <c r="T219" t="e">
        <f t="shared" si="54"/>
        <v>#VALUE!</v>
      </c>
      <c r="U219" t="e">
        <f t="shared" si="53"/>
        <v>#VALUE!</v>
      </c>
    </row>
    <row r="220" spans="1:21" x14ac:dyDescent="0.35">
      <c r="A220" s="1">
        <v>219</v>
      </c>
      <c r="B220" s="8">
        <v>194</v>
      </c>
      <c r="C220" s="3" t="e">
        <f t="shared" si="47"/>
        <v>#VALUE!</v>
      </c>
      <c r="D220" s="8" t="e">
        <f t="shared" si="42"/>
        <v>#VALUE!</v>
      </c>
      <c r="E220" s="3" t="e">
        <f t="shared" si="48"/>
        <v>#VALUE!</v>
      </c>
      <c r="F220" s="8" t="e">
        <f t="shared" si="43"/>
        <v>#VALUE!</v>
      </c>
      <c r="G220" s="3" t="e">
        <f t="shared" si="44"/>
        <v>#VALUE!</v>
      </c>
      <c r="H220" s="3">
        <v>729</v>
      </c>
      <c r="I220" s="8" t="e">
        <f t="shared" si="45"/>
        <v>#VALUE!</v>
      </c>
      <c r="J220" s="3">
        <v>123600</v>
      </c>
      <c r="K220" s="3" t="e">
        <f t="shared" si="46"/>
        <v>#VALUE!</v>
      </c>
      <c r="L220" s="8" t="e">
        <f t="shared" si="49"/>
        <v>#VALUE!</v>
      </c>
      <c r="M220" s="8" t="e">
        <f t="shared" si="50"/>
        <v>#VALUE!</v>
      </c>
      <c r="N220" s="3" t="e">
        <f t="shared" si="51"/>
        <v>#VALUE!</v>
      </c>
      <c r="O220" s="3" t="e">
        <f t="shared" si="52"/>
        <v>#VALUE!</v>
      </c>
      <c r="P220" s="3">
        <v>657</v>
      </c>
      <c r="Q220" s="3">
        <v>209295</v>
      </c>
      <c r="R220" s="3">
        <v>3</v>
      </c>
      <c r="T220" t="e">
        <f t="shared" si="54"/>
        <v>#VALUE!</v>
      </c>
      <c r="U220" t="e">
        <f t="shared" si="53"/>
        <v>#VALUE!</v>
      </c>
    </row>
    <row r="221" spans="1:21" x14ac:dyDescent="0.35">
      <c r="A221" s="1">
        <v>220</v>
      </c>
      <c r="B221" s="8">
        <v>198</v>
      </c>
      <c r="C221" s="3" t="e">
        <f t="shared" si="47"/>
        <v>#VALUE!</v>
      </c>
      <c r="D221" s="8" t="e">
        <f t="shared" si="42"/>
        <v>#VALUE!</v>
      </c>
      <c r="E221" s="3" t="e">
        <f t="shared" si="48"/>
        <v>#VALUE!</v>
      </c>
      <c r="F221" s="8" t="e">
        <f t="shared" si="43"/>
        <v>#VALUE!</v>
      </c>
      <c r="G221" s="3" t="e">
        <f t="shared" si="44"/>
        <v>#VALUE!</v>
      </c>
      <c r="H221" s="3">
        <v>748</v>
      </c>
      <c r="I221" s="8" t="e">
        <f t="shared" si="45"/>
        <v>#VALUE!</v>
      </c>
      <c r="J221" s="3">
        <v>252256</v>
      </c>
      <c r="K221" s="3" t="e">
        <f t="shared" si="46"/>
        <v>#VALUE!</v>
      </c>
      <c r="L221" s="8" t="e">
        <f t="shared" si="49"/>
        <v>#VALUE!</v>
      </c>
      <c r="M221" s="8" t="e">
        <f t="shared" si="50"/>
        <v>#VALUE!</v>
      </c>
      <c r="N221" s="3" t="e">
        <f t="shared" si="51"/>
        <v>#VALUE!</v>
      </c>
      <c r="O221" s="3" t="e">
        <f t="shared" si="52"/>
        <v>#VALUE!</v>
      </c>
      <c r="P221" s="3">
        <v>574</v>
      </c>
      <c r="Q221" s="3">
        <v>211829</v>
      </c>
      <c r="R221" s="3">
        <v>3</v>
      </c>
      <c r="T221" t="e">
        <f t="shared" si="54"/>
        <v>#VALUE!</v>
      </c>
      <c r="U221" t="e">
        <f t="shared" si="53"/>
        <v>#VALUE!</v>
      </c>
    </row>
    <row r="222" spans="1:21" x14ac:dyDescent="0.35">
      <c r="A222" s="1">
        <v>221</v>
      </c>
      <c r="B222" s="8">
        <v>60</v>
      </c>
      <c r="C222" s="3" t="e">
        <f t="shared" si="47"/>
        <v>#VALUE!</v>
      </c>
      <c r="D222" s="8" t="e">
        <f t="shared" si="42"/>
        <v>#VALUE!</v>
      </c>
      <c r="E222" s="3" t="e">
        <f t="shared" si="48"/>
        <v>#VALUE!</v>
      </c>
      <c r="F222" s="8" t="e">
        <f t="shared" si="43"/>
        <v>#VALUE!</v>
      </c>
      <c r="G222" s="3" t="e">
        <f t="shared" si="44"/>
        <v>#VALUE!</v>
      </c>
      <c r="H222" s="3">
        <v>165</v>
      </c>
      <c r="I222" s="8" t="e">
        <f t="shared" si="45"/>
        <v>#VALUE!</v>
      </c>
      <c r="J222" s="3">
        <v>229854</v>
      </c>
      <c r="K222" s="3" t="e">
        <f t="shared" si="46"/>
        <v>#VALUE!</v>
      </c>
      <c r="L222" s="8" t="e">
        <f t="shared" si="49"/>
        <v>#VALUE!</v>
      </c>
      <c r="M222" s="8" t="e">
        <f t="shared" si="50"/>
        <v>#VALUE!</v>
      </c>
      <c r="N222" s="3" t="e">
        <f t="shared" si="51"/>
        <v>#VALUE!</v>
      </c>
      <c r="O222" s="3" t="e">
        <f t="shared" si="52"/>
        <v>#VALUE!</v>
      </c>
      <c r="P222" s="3">
        <v>486</v>
      </c>
      <c r="Q222" s="3">
        <v>125477</v>
      </c>
      <c r="R222" s="3">
        <v>4</v>
      </c>
      <c r="T222" t="e">
        <f t="shared" si="54"/>
        <v>#VALUE!</v>
      </c>
      <c r="U222" t="e">
        <f t="shared" si="53"/>
        <v>#VALUE!</v>
      </c>
    </row>
    <row r="223" spans="1:21" x14ac:dyDescent="0.35">
      <c r="A223" s="1">
        <v>222</v>
      </c>
      <c r="B223" s="8">
        <v>158</v>
      </c>
      <c r="C223" s="3" t="e">
        <f t="shared" si="47"/>
        <v>#VALUE!</v>
      </c>
      <c r="D223" s="8" t="e">
        <f t="shared" si="42"/>
        <v>#VALUE!</v>
      </c>
      <c r="E223" s="3" t="e">
        <f t="shared" si="48"/>
        <v>#VALUE!</v>
      </c>
      <c r="F223" s="8" t="e">
        <f t="shared" si="43"/>
        <v>#VALUE!</v>
      </c>
      <c r="G223" s="3" t="e">
        <f t="shared" si="44"/>
        <v>#VALUE!</v>
      </c>
      <c r="H223" s="3">
        <v>467</v>
      </c>
      <c r="I223" s="8" t="e">
        <f t="shared" si="45"/>
        <v>#VALUE!</v>
      </c>
      <c r="J223" s="3">
        <v>229214</v>
      </c>
      <c r="K223" s="3" t="e">
        <f t="shared" si="46"/>
        <v>#VALUE!</v>
      </c>
      <c r="L223" s="8" t="e">
        <f t="shared" si="49"/>
        <v>#VALUE!</v>
      </c>
      <c r="M223" s="8" t="e">
        <f t="shared" si="50"/>
        <v>#VALUE!</v>
      </c>
      <c r="N223" s="3" t="e">
        <f t="shared" si="51"/>
        <v>#VALUE!</v>
      </c>
      <c r="O223" s="3" t="e">
        <f t="shared" si="52"/>
        <v>#VALUE!</v>
      </c>
      <c r="P223" s="3">
        <v>752</v>
      </c>
      <c r="Q223" s="3">
        <v>139248</v>
      </c>
      <c r="R223" s="3">
        <v>4</v>
      </c>
      <c r="T223" t="e">
        <f t="shared" si="54"/>
        <v>#VALUE!</v>
      </c>
      <c r="U223" t="e">
        <f t="shared" si="53"/>
        <v>#VALUE!</v>
      </c>
    </row>
    <row r="224" spans="1:21" x14ac:dyDescent="0.35">
      <c r="A224" s="1">
        <v>223</v>
      </c>
      <c r="B224" s="8">
        <v>203</v>
      </c>
      <c r="C224" s="3" t="e">
        <f t="shared" si="47"/>
        <v>#VALUE!</v>
      </c>
      <c r="D224" s="8" t="e">
        <f t="shared" si="42"/>
        <v>#VALUE!</v>
      </c>
      <c r="E224" s="3" t="e">
        <f t="shared" si="48"/>
        <v>#VALUE!</v>
      </c>
      <c r="F224" s="8" t="e">
        <f t="shared" si="43"/>
        <v>#VALUE!</v>
      </c>
      <c r="G224" s="3" t="e">
        <f t="shared" si="44"/>
        <v>#VALUE!</v>
      </c>
      <c r="H224" s="3">
        <v>598</v>
      </c>
      <c r="I224" s="8" t="e">
        <f t="shared" si="45"/>
        <v>#VALUE!</v>
      </c>
      <c r="J224" s="3">
        <v>255041</v>
      </c>
      <c r="K224" s="3" t="e">
        <f t="shared" si="46"/>
        <v>#VALUE!</v>
      </c>
      <c r="L224" s="8" t="e">
        <f t="shared" si="49"/>
        <v>#VALUE!</v>
      </c>
      <c r="M224" s="8" t="e">
        <f t="shared" si="50"/>
        <v>#VALUE!</v>
      </c>
      <c r="N224" s="3" t="e">
        <f t="shared" si="51"/>
        <v>#VALUE!</v>
      </c>
      <c r="O224" s="3" t="e">
        <f t="shared" si="52"/>
        <v>#VALUE!</v>
      </c>
      <c r="P224" s="3">
        <v>733</v>
      </c>
      <c r="Q224" s="3">
        <v>255496</v>
      </c>
      <c r="R224" s="3">
        <v>4</v>
      </c>
      <c r="T224" t="e">
        <f t="shared" si="54"/>
        <v>#VALUE!</v>
      </c>
      <c r="U224" t="e">
        <f t="shared" si="53"/>
        <v>#VALUE!</v>
      </c>
    </row>
    <row r="225" spans="1:21" x14ac:dyDescent="0.35">
      <c r="A225" s="1">
        <v>224</v>
      </c>
      <c r="B225" s="8">
        <v>161</v>
      </c>
      <c r="C225" s="3" t="e">
        <f t="shared" si="47"/>
        <v>#VALUE!</v>
      </c>
      <c r="D225" s="8" t="e">
        <f t="shared" si="42"/>
        <v>#VALUE!</v>
      </c>
      <c r="E225" s="3" t="e">
        <f t="shared" si="48"/>
        <v>#VALUE!</v>
      </c>
      <c r="F225" s="8" t="e">
        <f t="shared" si="43"/>
        <v>#VALUE!</v>
      </c>
      <c r="G225" s="3" t="e">
        <f t="shared" si="44"/>
        <v>#VALUE!</v>
      </c>
      <c r="H225" s="3">
        <v>812</v>
      </c>
      <c r="I225" s="8" t="e">
        <f t="shared" si="45"/>
        <v>#VALUE!</v>
      </c>
      <c r="J225" s="3">
        <v>256483</v>
      </c>
      <c r="K225" s="3" t="e">
        <f t="shared" si="46"/>
        <v>#VALUE!</v>
      </c>
      <c r="L225" s="8" t="e">
        <f t="shared" si="49"/>
        <v>#VALUE!</v>
      </c>
      <c r="M225" s="8" t="e">
        <f t="shared" si="50"/>
        <v>#VALUE!</v>
      </c>
      <c r="N225" s="3" t="e">
        <f t="shared" si="51"/>
        <v>#VALUE!</v>
      </c>
      <c r="O225" s="3" t="e">
        <f t="shared" si="52"/>
        <v>#VALUE!</v>
      </c>
      <c r="P225" s="3">
        <v>789</v>
      </c>
      <c r="Q225" s="3">
        <v>222653</v>
      </c>
      <c r="R225" s="3">
        <v>3</v>
      </c>
      <c r="T225" t="e">
        <f t="shared" si="54"/>
        <v>#VALUE!</v>
      </c>
      <c r="U225" t="e">
        <f t="shared" si="53"/>
        <v>#VALUE!</v>
      </c>
    </row>
    <row r="226" spans="1:21" x14ac:dyDescent="0.35">
      <c r="A226" s="1">
        <v>225</v>
      </c>
      <c r="B226" s="8">
        <v>184</v>
      </c>
      <c r="C226" s="3" t="e">
        <f t="shared" si="47"/>
        <v>#VALUE!</v>
      </c>
      <c r="D226" s="8" t="e">
        <f t="shared" si="42"/>
        <v>#VALUE!</v>
      </c>
      <c r="E226" s="3" t="e">
        <f t="shared" si="48"/>
        <v>#VALUE!</v>
      </c>
      <c r="F226" s="8" t="e">
        <f t="shared" si="43"/>
        <v>#VALUE!</v>
      </c>
      <c r="G226" s="3" t="e">
        <f t="shared" si="44"/>
        <v>#VALUE!</v>
      </c>
      <c r="H226" s="3">
        <v>841</v>
      </c>
      <c r="I226" s="8" t="e">
        <f t="shared" si="45"/>
        <v>#VALUE!</v>
      </c>
      <c r="J226" s="3">
        <v>248759</v>
      </c>
      <c r="K226" s="3" t="e">
        <f t="shared" si="46"/>
        <v>#VALUE!</v>
      </c>
      <c r="L226" s="8" t="e">
        <f t="shared" si="49"/>
        <v>#VALUE!</v>
      </c>
      <c r="M226" s="8" t="e">
        <f t="shared" si="50"/>
        <v>#VALUE!</v>
      </c>
      <c r="N226" s="3" t="e">
        <f t="shared" si="51"/>
        <v>#VALUE!</v>
      </c>
      <c r="O226" s="3" t="e">
        <f t="shared" si="52"/>
        <v>#VALUE!</v>
      </c>
      <c r="P226" s="3">
        <v>909</v>
      </c>
      <c r="Q226" s="3">
        <v>135186</v>
      </c>
      <c r="R226" s="3">
        <v>3</v>
      </c>
      <c r="T226" t="e">
        <f t="shared" si="54"/>
        <v>#VALUE!</v>
      </c>
      <c r="U226" t="e">
        <f t="shared" si="53"/>
        <v>#VALUE!</v>
      </c>
    </row>
    <row r="227" spans="1:21" x14ac:dyDescent="0.35">
      <c r="A227" s="1">
        <v>226</v>
      </c>
      <c r="B227" s="8">
        <v>233</v>
      </c>
      <c r="C227" s="3" t="e">
        <f t="shared" si="47"/>
        <v>#VALUE!</v>
      </c>
      <c r="D227" s="8" t="e">
        <f t="shared" si="42"/>
        <v>#VALUE!</v>
      </c>
      <c r="E227" s="3" t="e">
        <f t="shared" si="48"/>
        <v>#VALUE!</v>
      </c>
      <c r="F227" s="8" t="e">
        <f t="shared" si="43"/>
        <v>#VALUE!</v>
      </c>
      <c r="G227" s="3" t="e">
        <f t="shared" si="44"/>
        <v>#VALUE!</v>
      </c>
      <c r="H227" s="3">
        <v>637</v>
      </c>
      <c r="I227" s="8" t="e">
        <f t="shared" si="45"/>
        <v>#VALUE!</v>
      </c>
      <c r="J227" s="3">
        <v>90153</v>
      </c>
      <c r="K227" s="3" t="e">
        <f t="shared" si="46"/>
        <v>#VALUE!</v>
      </c>
      <c r="L227" s="8" t="e">
        <f t="shared" si="49"/>
        <v>#VALUE!</v>
      </c>
      <c r="M227" s="8" t="e">
        <f t="shared" si="50"/>
        <v>#VALUE!</v>
      </c>
      <c r="N227" s="3" t="e">
        <f t="shared" si="51"/>
        <v>#VALUE!</v>
      </c>
      <c r="O227" s="3" t="e">
        <f t="shared" si="52"/>
        <v>#VALUE!</v>
      </c>
      <c r="P227" s="3">
        <v>788</v>
      </c>
      <c r="Q227" s="3">
        <v>323226</v>
      </c>
      <c r="R227" s="3">
        <v>3</v>
      </c>
      <c r="T227" t="e">
        <f t="shared" si="54"/>
        <v>#VALUE!</v>
      </c>
      <c r="U227" t="e">
        <f t="shared" si="53"/>
        <v>#VALUE!</v>
      </c>
    </row>
    <row r="228" spans="1:21" x14ac:dyDescent="0.35">
      <c r="A228" s="1">
        <v>227</v>
      </c>
      <c r="B228" s="8">
        <v>30</v>
      </c>
      <c r="C228" s="3" t="e">
        <f t="shared" si="47"/>
        <v>#VALUE!</v>
      </c>
      <c r="D228" s="8" t="e">
        <f t="shared" si="42"/>
        <v>#VALUE!</v>
      </c>
      <c r="E228" s="3" t="e">
        <f t="shared" si="48"/>
        <v>#VALUE!</v>
      </c>
      <c r="F228" s="8" t="e">
        <f t="shared" si="43"/>
        <v>#VALUE!</v>
      </c>
      <c r="G228" s="3" t="e">
        <f t="shared" si="44"/>
        <v>#VALUE!</v>
      </c>
      <c r="H228" s="3">
        <v>298</v>
      </c>
      <c r="I228" s="8" t="e">
        <f t="shared" si="45"/>
        <v>#VALUE!</v>
      </c>
      <c r="J228" s="3">
        <v>135485</v>
      </c>
      <c r="K228" s="3" t="e">
        <f t="shared" si="46"/>
        <v>#VALUE!</v>
      </c>
      <c r="L228" s="8" t="e">
        <f t="shared" si="49"/>
        <v>#VALUE!</v>
      </c>
      <c r="M228" s="8" t="e">
        <f t="shared" si="50"/>
        <v>#VALUE!</v>
      </c>
      <c r="N228" s="3" t="e">
        <f t="shared" si="51"/>
        <v>#VALUE!</v>
      </c>
      <c r="O228" s="3" t="e">
        <f t="shared" si="52"/>
        <v>#VALUE!</v>
      </c>
      <c r="P228" s="3">
        <v>786</v>
      </c>
      <c r="Q228" s="3">
        <v>196385</v>
      </c>
      <c r="R228" s="3">
        <v>3</v>
      </c>
      <c r="T228" t="e">
        <f t="shared" si="54"/>
        <v>#VALUE!</v>
      </c>
      <c r="U228" t="e">
        <f t="shared" si="53"/>
        <v>#VALUE!</v>
      </c>
    </row>
    <row r="229" spans="1:21" x14ac:dyDescent="0.35">
      <c r="A229" s="1">
        <v>228</v>
      </c>
      <c r="B229" s="8">
        <v>262</v>
      </c>
      <c r="C229" s="3" t="e">
        <f t="shared" si="47"/>
        <v>#VALUE!</v>
      </c>
      <c r="D229" s="8" t="e">
        <f t="shared" si="42"/>
        <v>#VALUE!</v>
      </c>
      <c r="E229" s="3" t="e">
        <f t="shared" si="48"/>
        <v>#VALUE!</v>
      </c>
      <c r="F229" s="8" t="e">
        <f t="shared" si="43"/>
        <v>#VALUE!</v>
      </c>
      <c r="G229" s="3" t="e">
        <f t="shared" si="44"/>
        <v>#VALUE!</v>
      </c>
      <c r="H229" s="3">
        <v>814</v>
      </c>
      <c r="I229" s="8" t="e">
        <f t="shared" si="45"/>
        <v>#VALUE!</v>
      </c>
      <c r="J229" s="3">
        <v>291267</v>
      </c>
      <c r="K229" s="3" t="e">
        <f t="shared" si="46"/>
        <v>#VALUE!</v>
      </c>
      <c r="L229" s="8" t="e">
        <f t="shared" si="49"/>
        <v>#VALUE!</v>
      </c>
      <c r="M229" s="8" t="e">
        <f t="shared" si="50"/>
        <v>#VALUE!</v>
      </c>
      <c r="N229" s="3" t="e">
        <f t="shared" si="51"/>
        <v>#VALUE!</v>
      </c>
      <c r="O229" s="3" t="e">
        <f t="shared" si="52"/>
        <v>#VALUE!</v>
      </c>
      <c r="P229" s="3">
        <v>525</v>
      </c>
      <c r="Q229" s="3">
        <v>216612</v>
      </c>
      <c r="R229" s="3">
        <v>4</v>
      </c>
      <c r="T229" t="e">
        <f t="shared" si="54"/>
        <v>#VALUE!</v>
      </c>
      <c r="U229" t="e">
        <f t="shared" si="53"/>
        <v>#VALUE!</v>
      </c>
    </row>
    <row r="230" spans="1:21" x14ac:dyDescent="0.35">
      <c r="A230" s="1">
        <v>229</v>
      </c>
      <c r="B230" s="8">
        <v>27</v>
      </c>
      <c r="C230" s="3" t="e">
        <f t="shared" si="47"/>
        <v>#VALUE!</v>
      </c>
      <c r="D230" s="8" t="e">
        <f t="shared" si="42"/>
        <v>#VALUE!</v>
      </c>
      <c r="E230" s="3" t="e">
        <f t="shared" si="48"/>
        <v>#VALUE!</v>
      </c>
      <c r="F230" s="8" t="e">
        <f t="shared" si="43"/>
        <v>#VALUE!</v>
      </c>
      <c r="G230" s="3" t="e">
        <f t="shared" si="44"/>
        <v>#VALUE!</v>
      </c>
      <c r="H230" s="3">
        <v>317</v>
      </c>
      <c r="I230" s="8" t="e">
        <f t="shared" si="45"/>
        <v>#VALUE!</v>
      </c>
      <c r="J230" s="3">
        <v>96849</v>
      </c>
      <c r="K230" s="3" t="e">
        <f t="shared" si="46"/>
        <v>#VALUE!</v>
      </c>
      <c r="L230" s="8" t="e">
        <f t="shared" si="49"/>
        <v>#VALUE!</v>
      </c>
      <c r="M230" s="8" t="e">
        <f t="shared" si="50"/>
        <v>#VALUE!</v>
      </c>
      <c r="N230" s="3" t="e">
        <f t="shared" si="51"/>
        <v>#VALUE!</v>
      </c>
      <c r="O230" s="3" t="e">
        <f t="shared" si="52"/>
        <v>#VALUE!</v>
      </c>
      <c r="P230" s="3">
        <v>627</v>
      </c>
      <c r="Q230" s="3">
        <v>195194</v>
      </c>
      <c r="R230" s="3">
        <v>4</v>
      </c>
      <c r="T230" t="e">
        <f t="shared" si="54"/>
        <v>#VALUE!</v>
      </c>
      <c r="U230" t="e">
        <f t="shared" si="53"/>
        <v>#VALUE!</v>
      </c>
    </row>
    <row r="231" spans="1:21" x14ac:dyDescent="0.35">
      <c r="A231" s="1">
        <v>230</v>
      </c>
      <c r="B231" s="8">
        <v>11</v>
      </c>
      <c r="C231" s="3" t="e">
        <f t="shared" si="47"/>
        <v>#VALUE!</v>
      </c>
      <c r="D231" s="8" t="e">
        <f t="shared" si="42"/>
        <v>#VALUE!</v>
      </c>
      <c r="E231" s="3" t="e">
        <f t="shared" si="48"/>
        <v>#VALUE!</v>
      </c>
      <c r="F231" s="8" t="e">
        <f t="shared" si="43"/>
        <v>#VALUE!</v>
      </c>
      <c r="G231" s="3" t="e">
        <f t="shared" si="44"/>
        <v>#VALUE!</v>
      </c>
      <c r="H231" s="3">
        <v>433</v>
      </c>
      <c r="I231" s="8" t="e">
        <f t="shared" si="45"/>
        <v>#VALUE!</v>
      </c>
      <c r="J231" s="3">
        <v>193832</v>
      </c>
      <c r="K231" s="3" t="e">
        <f t="shared" si="46"/>
        <v>#VALUE!</v>
      </c>
      <c r="L231" s="8" t="e">
        <f t="shared" si="49"/>
        <v>#VALUE!</v>
      </c>
      <c r="M231" s="8" t="e">
        <f t="shared" si="50"/>
        <v>#VALUE!</v>
      </c>
      <c r="N231" s="3" t="e">
        <f t="shared" si="51"/>
        <v>#VALUE!</v>
      </c>
      <c r="O231" s="3" t="e">
        <f t="shared" si="52"/>
        <v>#VALUE!</v>
      </c>
      <c r="P231" s="3">
        <v>628</v>
      </c>
      <c r="Q231" s="3">
        <v>260569</v>
      </c>
      <c r="R231" s="3">
        <v>3</v>
      </c>
      <c r="T231" t="e">
        <f t="shared" si="54"/>
        <v>#VALUE!</v>
      </c>
      <c r="U231" t="e">
        <f t="shared" si="53"/>
        <v>#VALUE!</v>
      </c>
    </row>
    <row r="232" spans="1:21" x14ac:dyDescent="0.35">
      <c r="A232" s="1">
        <v>231</v>
      </c>
      <c r="B232" s="8">
        <v>58</v>
      </c>
      <c r="C232" s="3" t="e">
        <f t="shared" si="47"/>
        <v>#VALUE!</v>
      </c>
      <c r="D232" s="8" t="e">
        <f t="shared" si="42"/>
        <v>#VALUE!</v>
      </c>
      <c r="E232" s="3" t="e">
        <f t="shared" si="48"/>
        <v>#VALUE!</v>
      </c>
      <c r="F232" s="8" t="e">
        <f t="shared" si="43"/>
        <v>#VALUE!</v>
      </c>
      <c r="G232" s="3" t="e">
        <f t="shared" si="44"/>
        <v>#VALUE!</v>
      </c>
      <c r="H232" s="3">
        <v>292</v>
      </c>
      <c r="I232" s="8" t="e">
        <f t="shared" si="45"/>
        <v>#VALUE!</v>
      </c>
      <c r="J232" s="3">
        <v>281286</v>
      </c>
      <c r="K232" s="3" t="e">
        <f t="shared" si="46"/>
        <v>#VALUE!</v>
      </c>
      <c r="L232" s="8" t="e">
        <f t="shared" si="49"/>
        <v>#VALUE!</v>
      </c>
      <c r="M232" s="8" t="e">
        <f t="shared" si="50"/>
        <v>#VALUE!</v>
      </c>
      <c r="N232" s="3" t="e">
        <f t="shared" si="51"/>
        <v>#VALUE!</v>
      </c>
      <c r="O232" s="3" t="e">
        <f t="shared" si="52"/>
        <v>#VALUE!</v>
      </c>
      <c r="P232" s="3">
        <v>845</v>
      </c>
      <c r="Q232" s="3">
        <v>194989</v>
      </c>
      <c r="R232" s="3">
        <v>4</v>
      </c>
      <c r="T232" t="e">
        <f t="shared" si="54"/>
        <v>#VALUE!</v>
      </c>
      <c r="U232" t="e">
        <f t="shared" si="53"/>
        <v>#VALUE!</v>
      </c>
    </row>
    <row r="233" spans="1:21" x14ac:dyDescent="0.35">
      <c r="A233" s="1">
        <v>232</v>
      </c>
      <c r="B233" s="8">
        <v>35</v>
      </c>
      <c r="C233" s="3" t="e">
        <f t="shared" si="47"/>
        <v>#VALUE!</v>
      </c>
      <c r="D233" s="8" t="e">
        <f t="shared" si="42"/>
        <v>#VALUE!</v>
      </c>
      <c r="E233" s="3" t="e">
        <f t="shared" si="48"/>
        <v>#VALUE!</v>
      </c>
      <c r="F233" s="8" t="e">
        <f t="shared" si="43"/>
        <v>#VALUE!</v>
      </c>
      <c r="G233" s="3" t="e">
        <f t="shared" si="44"/>
        <v>#VALUE!</v>
      </c>
      <c r="H233" s="3">
        <v>487</v>
      </c>
      <c r="I233" s="8" t="e">
        <f t="shared" si="45"/>
        <v>#VALUE!</v>
      </c>
      <c r="J233" s="3">
        <v>138901</v>
      </c>
      <c r="K233" s="3" t="e">
        <f t="shared" si="46"/>
        <v>#VALUE!</v>
      </c>
      <c r="L233" s="8" t="e">
        <f t="shared" si="49"/>
        <v>#VALUE!</v>
      </c>
      <c r="M233" s="8" t="e">
        <f t="shared" si="50"/>
        <v>#VALUE!</v>
      </c>
      <c r="N233" s="3" t="e">
        <f t="shared" si="51"/>
        <v>#VALUE!</v>
      </c>
      <c r="O233" s="3" t="e">
        <f t="shared" si="52"/>
        <v>#VALUE!</v>
      </c>
      <c r="P233" s="3">
        <v>875</v>
      </c>
      <c r="Q233" s="3">
        <v>198023</v>
      </c>
      <c r="R233" s="3">
        <v>5</v>
      </c>
      <c r="T233" t="e">
        <f t="shared" si="54"/>
        <v>#VALUE!</v>
      </c>
      <c r="U233" t="e">
        <f t="shared" si="53"/>
        <v>#VALUE!</v>
      </c>
    </row>
    <row r="234" spans="1:21" x14ac:dyDescent="0.35">
      <c r="A234" s="1">
        <v>233</v>
      </c>
      <c r="B234" s="8">
        <v>101</v>
      </c>
      <c r="C234" s="3" t="e">
        <f t="shared" si="47"/>
        <v>#VALUE!</v>
      </c>
      <c r="D234" s="8" t="e">
        <f t="shared" si="42"/>
        <v>#VALUE!</v>
      </c>
      <c r="E234" s="3" t="e">
        <f t="shared" si="48"/>
        <v>#VALUE!</v>
      </c>
      <c r="F234" s="8" t="e">
        <f t="shared" si="43"/>
        <v>#VALUE!</v>
      </c>
      <c r="G234" s="3" t="e">
        <f t="shared" si="44"/>
        <v>#VALUE!</v>
      </c>
      <c r="H234" s="3">
        <v>277</v>
      </c>
      <c r="I234" s="8" t="e">
        <f t="shared" si="45"/>
        <v>#VALUE!</v>
      </c>
      <c r="J234" s="3">
        <v>187871</v>
      </c>
      <c r="K234" s="3" t="e">
        <f t="shared" si="46"/>
        <v>#VALUE!</v>
      </c>
      <c r="L234" s="8" t="e">
        <f t="shared" si="49"/>
        <v>#VALUE!</v>
      </c>
      <c r="M234" s="8" t="e">
        <f t="shared" si="50"/>
        <v>#VALUE!</v>
      </c>
      <c r="N234" s="3" t="e">
        <f t="shared" si="51"/>
        <v>#VALUE!</v>
      </c>
      <c r="O234" s="3" t="e">
        <f t="shared" si="52"/>
        <v>#VALUE!</v>
      </c>
      <c r="P234" s="3">
        <v>637</v>
      </c>
      <c r="Q234" s="3">
        <v>90153</v>
      </c>
      <c r="R234" s="3">
        <v>4</v>
      </c>
      <c r="T234" t="e">
        <f t="shared" si="54"/>
        <v>#VALUE!</v>
      </c>
      <c r="U234" t="e">
        <f t="shared" si="53"/>
        <v>#VALUE!</v>
      </c>
    </row>
    <row r="235" spans="1:21" x14ac:dyDescent="0.35">
      <c r="A235" s="1">
        <v>234</v>
      </c>
      <c r="B235" s="8">
        <v>269</v>
      </c>
      <c r="C235" s="3" t="e">
        <f t="shared" si="47"/>
        <v>#VALUE!</v>
      </c>
      <c r="D235" s="8" t="e">
        <f t="shared" si="42"/>
        <v>#VALUE!</v>
      </c>
      <c r="E235" s="3" t="e">
        <f t="shared" si="48"/>
        <v>#VALUE!</v>
      </c>
      <c r="F235" s="8" t="e">
        <f t="shared" si="43"/>
        <v>#VALUE!</v>
      </c>
      <c r="G235" s="3" t="e">
        <f t="shared" si="44"/>
        <v>#VALUE!</v>
      </c>
      <c r="H235" s="3">
        <v>814</v>
      </c>
      <c r="I235" s="8" t="e">
        <f t="shared" si="45"/>
        <v>#VALUE!</v>
      </c>
      <c r="J235" s="3">
        <v>164502</v>
      </c>
      <c r="K235" s="3" t="e">
        <f t="shared" si="46"/>
        <v>#VALUE!</v>
      </c>
      <c r="L235" s="8" t="e">
        <f t="shared" si="49"/>
        <v>#VALUE!</v>
      </c>
      <c r="M235" s="8" t="e">
        <f t="shared" si="50"/>
        <v>#VALUE!</v>
      </c>
      <c r="N235" s="3" t="e">
        <f t="shared" si="51"/>
        <v>#VALUE!</v>
      </c>
      <c r="O235" s="3" t="e">
        <f t="shared" si="52"/>
        <v>#VALUE!</v>
      </c>
      <c r="P235" s="3">
        <v>791</v>
      </c>
      <c r="Q235" s="3">
        <v>245593</v>
      </c>
      <c r="R235" s="3">
        <v>3</v>
      </c>
      <c r="T235" t="e">
        <f t="shared" si="54"/>
        <v>#VALUE!</v>
      </c>
      <c r="U235" t="e">
        <f t="shared" si="53"/>
        <v>#VALUE!</v>
      </c>
    </row>
    <row r="236" spans="1:21" x14ac:dyDescent="0.35">
      <c r="A236" s="1">
        <v>235</v>
      </c>
      <c r="B236" s="8">
        <v>25</v>
      </c>
      <c r="C236" s="3" t="e">
        <f t="shared" si="47"/>
        <v>#VALUE!</v>
      </c>
      <c r="D236" s="8" t="e">
        <f t="shared" si="42"/>
        <v>#VALUE!</v>
      </c>
      <c r="E236" s="3" t="e">
        <f t="shared" si="48"/>
        <v>#VALUE!</v>
      </c>
      <c r="F236" s="8" t="e">
        <f t="shared" si="43"/>
        <v>#VALUE!</v>
      </c>
      <c r="G236" s="3" t="e">
        <f t="shared" si="44"/>
        <v>#VALUE!</v>
      </c>
      <c r="H236" s="3">
        <v>345</v>
      </c>
      <c r="I236" s="8" t="e">
        <f t="shared" si="45"/>
        <v>#VALUE!</v>
      </c>
      <c r="J236" s="3">
        <v>325292</v>
      </c>
      <c r="K236" s="3" t="e">
        <f t="shared" si="46"/>
        <v>#VALUE!</v>
      </c>
      <c r="L236" s="8" t="e">
        <f t="shared" si="49"/>
        <v>#VALUE!</v>
      </c>
      <c r="M236" s="8" t="e">
        <f t="shared" si="50"/>
        <v>#VALUE!</v>
      </c>
      <c r="N236" s="3" t="e">
        <f t="shared" si="51"/>
        <v>#VALUE!</v>
      </c>
      <c r="O236" s="3" t="e">
        <f t="shared" si="52"/>
        <v>#VALUE!</v>
      </c>
      <c r="P236" s="3">
        <v>881</v>
      </c>
      <c r="Q236" s="3">
        <v>243317</v>
      </c>
      <c r="R236" s="3">
        <v>4</v>
      </c>
      <c r="T236" t="e">
        <f t="shared" si="54"/>
        <v>#VALUE!</v>
      </c>
      <c r="U236" t="e">
        <f t="shared" si="53"/>
        <v>#VALUE!</v>
      </c>
    </row>
    <row r="237" spans="1:21" x14ac:dyDescent="0.35">
      <c r="A237" s="1">
        <v>236</v>
      </c>
      <c r="B237" s="8">
        <v>280</v>
      </c>
      <c r="C237" s="3" t="e">
        <f t="shared" si="47"/>
        <v>#VALUE!</v>
      </c>
      <c r="D237" s="8" t="e">
        <f t="shared" si="42"/>
        <v>#VALUE!</v>
      </c>
      <c r="E237" s="3" t="e">
        <f t="shared" si="48"/>
        <v>#VALUE!</v>
      </c>
      <c r="F237" s="8" t="e">
        <f t="shared" si="43"/>
        <v>#VALUE!</v>
      </c>
      <c r="G237" s="3" t="e">
        <f t="shared" si="44"/>
        <v>#VALUE!</v>
      </c>
      <c r="H237" s="3">
        <v>789</v>
      </c>
      <c r="I237" s="8" t="e">
        <f t="shared" si="45"/>
        <v>#VALUE!</v>
      </c>
      <c r="J237" s="3">
        <v>166343</v>
      </c>
      <c r="K237" s="3" t="e">
        <f t="shared" si="46"/>
        <v>#VALUE!</v>
      </c>
      <c r="L237" s="8" t="e">
        <f t="shared" si="49"/>
        <v>#VALUE!</v>
      </c>
      <c r="M237" s="8" t="e">
        <f t="shared" si="50"/>
        <v>#VALUE!</v>
      </c>
      <c r="N237" s="3" t="e">
        <f t="shared" si="51"/>
        <v>#VALUE!</v>
      </c>
      <c r="O237" s="3" t="e">
        <f t="shared" si="52"/>
        <v>#VALUE!</v>
      </c>
      <c r="P237" s="3">
        <v>767</v>
      </c>
      <c r="Q237" s="3">
        <v>273025</v>
      </c>
      <c r="R237" s="3">
        <v>4</v>
      </c>
      <c r="T237" t="e">
        <f t="shared" si="54"/>
        <v>#VALUE!</v>
      </c>
      <c r="U237" t="e">
        <f t="shared" si="53"/>
        <v>#VALUE!</v>
      </c>
    </row>
    <row r="238" spans="1:21" x14ac:dyDescent="0.35">
      <c r="A238" s="1">
        <v>237</v>
      </c>
      <c r="B238" s="8">
        <v>62</v>
      </c>
      <c r="C238" s="3" t="e">
        <f t="shared" si="47"/>
        <v>#VALUE!</v>
      </c>
      <c r="D238" s="8" t="e">
        <f t="shared" si="42"/>
        <v>#VALUE!</v>
      </c>
      <c r="E238" s="3" t="e">
        <f t="shared" si="48"/>
        <v>#VALUE!</v>
      </c>
      <c r="F238" s="8" t="e">
        <f t="shared" si="43"/>
        <v>#VALUE!</v>
      </c>
      <c r="G238" s="3" t="e">
        <f t="shared" si="44"/>
        <v>#VALUE!</v>
      </c>
      <c r="H238" s="3">
        <v>470</v>
      </c>
      <c r="I238" s="8" t="e">
        <f t="shared" si="45"/>
        <v>#VALUE!</v>
      </c>
      <c r="J238" s="3">
        <v>151916</v>
      </c>
      <c r="K238" s="3" t="e">
        <f t="shared" si="46"/>
        <v>#VALUE!</v>
      </c>
      <c r="L238" s="8" t="e">
        <f t="shared" si="49"/>
        <v>#VALUE!</v>
      </c>
      <c r="M238" s="8" t="e">
        <f t="shared" si="50"/>
        <v>#VALUE!</v>
      </c>
      <c r="N238" s="3" t="e">
        <f t="shared" si="51"/>
        <v>#VALUE!</v>
      </c>
      <c r="O238" s="3" t="e">
        <f t="shared" si="52"/>
        <v>#VALUE!</v>
      </c>
      <c r="P238" s="3">
        <v>778</v>
      </c>
      <c r="Q238" s="3">
        <v>199423</v>
      </c>
      <c r="R238" s="3">
        <v>3</v>
      </c>
      <c r="T238" t="e">
        <f t="shared" si="54"/>
        <v>#VALUE!</v>
      </c>
      <c r="U238" t="e">
        <f t="shared" si="53"/>
        <v>#VALUE!</v>
      </c>
    </row>
    <row r="239" spans="1:21" x14ac:dyDescent="0.35">
      <c r="A239" s="1">
        <v>238</v>
      </c>
      <c r="B239" s="8">
        <v>260</v>
      </c>
      <c r="C239" s="3" t="e">
        <f t="shared" si="47"/>
        <v>#VALUE!</v>
      </c>
      <c r="D239" s="8" t="e">
        <f t="shared" si="42"/>
        <v>#VALUE!</v>
      </c>
      <c r="E239" s="3" t="e">
        <f t="shared" si="48"/>
        <v>#VALUE!</v>
      </c>
      <c r="F239" s="8" t="e">
        <f t="shared" si="43"/>
        <v>#VALUE!</v>
      </c>
      <c r="G239" s="3" t="e">
        <f t="shared" si="44"/>
        <v>#VALUE!</v>
      </c>
      <c r="H239" s="3">
        <v>896</v>
      </c>
      <c r="I239" s="8" t="e">
        <f t="shared" si="45"/>
        <v>#VALUE!</v>
      </c>
      <c r="J239" s="3">
        <v>198349</v>
      </c>
      <c r="K239" s="3" t="e">
        <f t="shared" si="46"/>
        <v>#VALUE!</v>
      </c>
      <c r="L239" s="8" t="e">
        <f t="shared" si="49"/>
        <v>#VALUE!</v>
      </c>
      <c r="M239" s="8" t="e">
        <f t="shared" si="50"/>
        <v>#VALUE!</v>
      </c>
      <c r="N239" s="3" t="e">
        <f t="shared" si="51"/>
        <v>#VALUE!</v>
      </c>
      <c r="O239" s="3" t="e">
        <f t="shared" si="52"/>
        <v>#VALUE!</v>
      </c>
      <c r="P239" s="3">
        <v>686</v>
      </c>
      <c r="Q239" s="3">
        <v>289694</v>
      </c>
      <c r="R239" s="3">
        <v>2</v>
      </c>
      <c r="T239" t="e">
        <f t="shared" si="54"/>
        <v>#VALUE!</v>
      </c>
      <c r="U239" t="e">
        <f t="shared" si="53"/>
        <v>#VALUE!</v>
      </c>
    </row>
    <row r="240" spans="1:21" x14ac:dyDescent="0.35">
      <c r="A240" s="1">
        <v>239</v>
      </c>
      <c r="B240" s="8">
        <v>64</v>
      </c>
      <c r="C240" s="3" t="e">
        <f t="shared" si="47"/>
        <v>#VALUE!</v>
      </c>
      <c r="D240" s="8" t="e">
        <f t="shared" si="42"/>
        <v>#VALUE!</v>
      </c>
      <c r="E240" s="3" t="e">
        <f t="shared" si="48"/>
        <v>#VALUE!</v>
      </c>
      <c r="F240" s="8" t="e">
        <f t="shared" si="43"/>
        <v>#VALUE!</v>
      </c>
      <c r="G240" s="3" t="e">
        <f t="shared" si="44"/>
        <v>#VALUE!</v>
      </c>
      <c r="H240" s="3">
        <v>209</v>
      </c>
      <c r="I240" s="8" t="e">
        <f t="shared" si="45"/>
        <v>#VALUE!</v>
      </c>
      <c r="J240" s="3">
        <v>174330</v>
      </c>
      <c r="K240" s="3" t="e">
        <f t="shared" si="46"/>
        <v>#VALUE!</v>
      </c>
      <c r="L240" s="8" t="e">
        <f t="shared" si="49"/>
        <v>#VALUE!</v>
      </c>
      <c r="M240" s="8" t="e">
        <f t="shared" si="50"/>
        <v>#VALUE!</v>
      </c>
      <c r="N240" s="3" t="e">
        <f t="shared" si="51"/>
        <v>#VALUE!</v>
      </c>
      <c r="O240" s="3" t="e">
        <f t="shared" si="52"/>
        <v>#VALUE!</v>
      </c>
      <c r="P240" s="3">
        <v>752</v>
      </c>
      <c r="Q240" s="3">
        <v>175666</v>
      </c>
      <c r="R240" s="3">
        <v>3</v>
      </c>
      <c r="T240" t="e">
        <f t="shared" si="54"/>
        <v>#VALUE!</v>
      </c>
      <c r="U240" t="e">
        <f t="shared" si="53"/>
        <v>#VALUE!</v>
      </c>
    </row>
    <row r="241" spans="1:21" x14ac:dyDescent="0.35">
      <c r="A241" s="1">
        <v>240</v>
      </c>
      <c r="B241" s="8">
        <v>82</v>
      </c>
      <c r="C241" s="3" t="e">
        <f t="shared" si="47"/>
        <v>#VALUE!</v>
      </c>
      <c r="D241" s="8" t="e">
        <f t="shared" si="42"/>
        <v>#VALUE!</v>
      </c>
      <c r="E241" s="3" t="e">
        <f t="shared" si="48"/>
        <v>#VALUE!</v>
      </c>
      <c r="F241" s="8" t="e">
        <f t="shared" si="43"/>
        <v>#VALUE!</v>
      </c>
      <c r="G241" s="3" t="e">
        <f t="shared" si="44"/>
        <v>#VALUE!</v>
      </c>
      <c r="H241" s="3">
        <v>285</v>
      </c>
      <c r="I241" s="8" t="e">
        <f t="shared" si="45"/>
        <v>#VALUE!</v>
      </c>
      <c r="J241" s="3">
        <v>209592</v>
      </c>
      <c r="K241" s="3" t="e">
        <f t="shared" si="46"/>
        <v>#VALUE!</v>
      </c>
      <c r="L241" s="8" t="e">
        <f t="shared" si="49"/>
        <v>#VALUE!</v>
      </c>
      <c r="M241" s="8" t="e">
        <f t="shared" si="50"/>
        <v>#VALUE!</v>
      </c>
      <c r="N241" s="3" t="e">
        <f t="shared" si="51"/>
        <v>#VALUE!</v>
      </c>
      <c r="O241" s="3" t="e">
        <f t="shared" si="52"/>
        <v>#VALUE!</v>
      </c>
      <c r="P241" s="3">
        <v>725</v>
      </c>
      <c r="Q241" s="3">
        <v>256618</v>
      </c>
      <c r="R241" s="3">
        <v>4</v>
      </c>
      <c r="T241" t="e">
        <f t="shared" si="54"/>
        <v>#VALUE!</v>
      </c>
      <c r="U241" t="e">
        <f t="shared" si="53"/>
        <v>#VALUE!</v>
      </c>
    </row>
    <row r="242" spans="1:21" x14ac:dyDescent="0.35">
      <c r="A242" s="1">
        <v>241</v>
      </c>
      <c r="B242" s="8">
        <v>106</v>
      </c>
      <c r="C242" s="3" t="e">
        <f t="shared" si="47"/>
        <v>#VALUE!</v>
      </c>
      <c r="D242" s="8" t="e">
        <f t="shared" si="42"/>
        <v>#VALUE!</v>
      </c>
      <c r="E242" s="3" t="e">
        <f t="shared" si="48"/>
        <v>#VALUE!</v>
      </c>
      <c r="F242" s="8" t="e">
        <f t="shared" si="43"/>
        <v>#VALUE!</v>
      </c>
      <c r="G242" s="3" t="e">
        <f t="shared" si="44"/>
        <v>#VALUE!</v>
      </c>
      <c r="H242" s="3">
        <v>98</v>
      </c>
      <c r="I242" s="8" t="e">
        <f t="shared" si="45"/>
        <v>#VALUE!</v>
      </c>
      <c r="J242" s="3">
        <v>128713</v>
      </c>
      <c r="K242" s="3" t="e">
        <f t="shared" si="46"/>
        <v>#VALUE!</v>
      </c>
      <c r="L242" s="8" t="e">
        <f t="shared" si="49"/>
        <v>#VALUE!</v>
      </c>
      <c r="M242" s="8" t="e">
        <f t="shared" si="50"/>
        <v>#VALUE!</v>
      </c>
      <c r="N242" s="3" t="e">
        <f t="shared" si="51"/>
        <v>#VALUE!</v>
      </c>
      <c r="O242" s="3" t="e">
        <f t="shared" si="52"/>
        <v>#VALUE!</v>
      </c>
      <c r="P242" s="3">
        <v>859</v>
      </c>
      <c r="Q242" s="3">
        <v>168468</v>
      </c>
      <c r="R242" s="3">
        <v>4</v>
      </c>
      <c r="T242" t="e">
        <f t="shared" si="54"/>
        <v>#VALUE!</v>
      </c>
      <c r="U242" t="e">
        <f t="shared" si="53"/>
        <v>#VALUE!</v>
      </c>
    </row>
    <row r="243" spans="1:21" x14ac:dyDescent="0.35">
      <c r="A243" s="1">
        <v>242</v>
      </c>
      <c r="B243" s="8">
        <v>193</v>
      </c>
      <c r="C243" s="3" t="e">
        <f t="shared" si="47"/>
        <v>#VALUE!</v>
      </c>
      <c r="D243" s="8" t="e">
        <f t="shared" si="42"/>
        <v>#VALUE!</v>
      </c>
      <c r="E243" s="3" t="e">
        <f t="shared" si="48"/>
        <v>#VALUE!</v>
      </c>
      <c r="F243" s="8" t="e">
        <f t="shared" si="43"/>
        <v>#VALUE!</v>
      </c>
      <c r="G243" s="3" t="e">
        <f t="shared" si="44"/>
        <v>#VALUE!</v>
      </c>
      <c r="H243" s="3">
        <v>762</v>
      </c>
      <c r="I243" s="8" t="e">
        <f t="shared" si="45"/>
        <v>#VALUE!</v>
      </c>
      <c r="J243" s="3">
        <v>100446</v>
      </c>
      <c r="K243" s="3" t="e">
        <f t="shared" si="46"/>
        <v>#VALUE!</v>
      </c>
      <c r="L243" s="8" t="e">
        <f t="shared" si="49"/>
        <v>#VALUE!</v>
      </c>
      <c r="M243" s="8" t="e">
        <f t="shared" si="50"/>
        <v>#VALUE!</v>
      </c>
      <c r="N243" s="3" t="e">
        <f t="shared" si="51"/>
        <v>#VALUE!</v>
      </c>
      <c r="O243" s="3" t="e">
        <f t="shared" si="52"/>
        <v>#VALUE!</v>
      </c>
      <c r="P243" s="3">
        <v>768</v>
      </c>
      <c r="Q243" s="3">
        <v>174501</v>
      </c>
      <c r="R243" s="3">
        <v>3</v>
      </c>
      <c r="T243" t="e">
        <f t="shared" si="54"/>
        <v>#VALUE!</v>
      </c>
      <c r="U243" t="e">
        <f t="shared" si="53"/>
        <v>#VALUE!</v>
      </c>
    </row>
    <row r="244" spans="1:21" x14ac:dyDescent="0.35">
      <c r="A244" s="1">
        <v>243</v>
      </c>
      <c r="B244" s="8">
        <v>201</v>
      </c>
      <c r="C244" s="3" t="e">
        <f t="shared" si="47"/>
        <v>#VALUE!</v>
      </c>
      <c r="D244" s="8" t="e">
        <f t="shared" si="42"/>
        <v>#VALUE!</v>
      </c>
      <c r="E244" s="3" t="e">
        <f t="shared" si="48"/>
        <v>#VALUE!</v>
      </c>
      <c r="F244" s="8" t="e">
        <f t="shared" si="43"/>
        <v>#VALUE!</v>
      </c>
      <c r="G244" s="3" t="e">
        <f t="shared" si="44"/>
        <v>#VALUE!</v>
      </c>
      <c r="H244" s="3">
        <v>637</v>
      </c>
      <c r="I244" s="8" t="e">
        <f t="shared" si="45"/>
        <v>#VALUE!</v>
      </c>
      <c r="J244" s="3">
        <v>116200</v>
      </c>
      <c r="K244" s="3" t="e">
        <f t="shared" si="46"/>
        <v>#VALUE!</v>
      </c>
      <c r="L244" s="8" t="e">
        <f t="shared" si="49"/>
        <v>#VALUE!</v>
      </c>
      <c r="M244" s="8" t="e">
        <f t="shared" si="50"/>
        <v>#VALUE!</v>
      </c>
      <c r="N244" s="3" t="e">
        <f t="shared" si="51"/>
        <v>#VALUE!</v>
      </c>
      <c r="O244" s="3" t="e">
        <f t="shared" si="52"/>
        <v>#VALUE!</v>
      </c>
      <c r="P244" s="3">
        <v>711</v>
      </c>
      <c r="Q244" s="3">
        <v>160991</v>
      </c>
      <c r="R244" s="3">
        <v>4</v>
      </c>
      <c r="T244" t="e">
        <f t="shared" si="54"/>
        <v>#VALUE!</v>
      </c>
      <c r="U244" t="e">
        <f t="shared" si="53"/>
        <v>#VALUE!</v>
      </c>
    </row>
    <row r="245" spans="1:21" x14ac:dyDescent="0.35">
      <c r="A245" s="1">
        <v>244</v>
      </c>
      <c r="B245" s="8">
        <v>3</v>
      </c>
      <c r="C245" s="3" t="e">
        <f t="shared" si="47"/>
        <v>#VALUE!</v>
      </c>
      <c r="D245" s="8" t="e">
        <f t="shared" si="42"/>
        <v>#VALUE!</v>
      </c>
      <c r="E245" s="3" t="e">
        <f t="shared" si="48"/>
        <v>#VALUE!</v>
      </c>
      <c r="F245" s="8" t="e">
        <f t="shared" si="43"/>
        <v>#VALUE!</v>
      </c>
      <c r="G245" s="3" t="e">
        <f t="shared" si="44"/>
        <v>#VALUE!</v>
      </c>
      <c r="H245" s="3">
        <v>302</v>
      </c>
      <c r="I245" s="8" t="e">
        <f t="shared" si="45"/>
        <v>#VALUE!</v>
      </c>
      <c r="J245" s="3">
        <v>206889</v>
      </c>
      <c r="K245" s="3" t="e">
        <f t="shared" si="46"/>
        <v>#VALUE!</v>
      </c>
      <c r="L245" s="8" t="e">
        <f t="shared" si="49"/>
        <v>#VALUE!</v>
      </c>
      <c r="M245" s="8" t="e">
        <f t="shared" si="50"/>
        <v>#VALUE!</v>
      </c>
      <c r="N245" s="3" t="e">
        <f t="shared" si="51"/>
        <v>#VALUE!</v>
      </c>
      <c r="O245" s="3" t="e">
        <f t="shared" si="52"/>
        <v>#VALUE!</v>
      </c>
      <c r="P245" s="3">
        <v>588</v>
      </c>
      <c r="Q245" s="3">
        <v>151692</v>
      </c>
      <c r="R245" s="3">
        <v>3</v>
      </c>
      <c r="T245" t="e">
        <f t="shared" si="54"/>
        <v>#VALUE!</v>
      </c>
      <c r="U245" t="e">
        <f t="shared" si="53"/>
        <v>#VALUE!</v>
      </c>
    </row>
    <row r="246" spans="1:21" x14ac:dyDescent="0.35">
      <c r="A246" s="1">
        <v>245</v>
      </c>
      <c r="B246" s="8">
        <v>114</v>
      </c>
      <c r="C246" s="3" t="e">
        <f t="shared" si="47"/>
        <v>#VALUE!</v>
      </c>
      <c r="D246" s="8" t="e">
        <f t="shared" si="42"/>
        <v>#VALUE!</v>
      </c>
      <c r="E246" s="3" t="e">
        <f t="shared" si="48"/>
        <v>#VALUE!</v>
      </c>
      <c r="F246" s="8" t="e">
        <f t="shared" si="43"/>
        <v>#VALUE!</v>
      </c>
      <c r="G246" s="3" t="e">
        <f t="shared" si="44"/>
        <v>#VALUE!</v>
      </c>
      <c r="H246" s="3">
        <v>205</v>
      </c>
      <c r="I246" s="8" t="e">
        <f t="shared" si="45"/>
        <v>#VALUE!</v>
      </c>
      <c r="J246" s="3">
        <v>91884</v>
      </c>
      <c r="K246" s="3" t="e">
        <f t="shared" si="46"/>
        <v>#VALUE!</v>
      </c>
      <c r="L246" s="8" t="e">
        <f t="shared" si="49"/>
        <v>#VALUE!</v>
      </c>
      <c r="M246" s="8" t="e">
        <f t="shared" si="50"/>
        <v>#VALUE!</v>
      </c>
      <c r="N246" s="3" t="e">
        <f t="shared" si="51"/>
        <v>#VALUE!</v>
      </c>
      <c r="O246" s="3" t="e">
        <f t="shared" si="52"/>
        <v>#VALUE!</v>
      </c>
      <c r="P246" s="3">
        <v>823</v>
      </c>
      <c r="Q246" s="3">
        <v>356833</v>
      </c>
      <c r="R246" s="3">
        <v>3</v>
      </c>
      <c r="T246" t="e">
        <f t="shared" si="54"/>
        <v>#VALUE!</v>
      </c>
      <c r="U246" t="e">
        <f t="shared" si="53"/>
        <v>#VALUE!</v>
      </c>
    </row>
    <row r="247" spans="1:21" x14ac:dyDescent="0.35">
      <c r="A247" s="1">
        <v>246</v>
      </c>
      <c r="B247" s="8">
        <v>71</v>
      </c>
      <c r="C247" s="3" t="e">
        <f t="shared" si="47"/>
        <v>#VALUE!</v>
      </c>
      <c r="D247" s="8" t="e">
        <f t="shared" si="42"/>
        <v>#VALUE!</v>
      </c>
      <c r="E247" s="3" t="e">
        <f t="shared" si="48"/>
        <v>#VALUE!</v>
      </c>
      <c r="F247" s="8" t="e">
        <f t="shared" si="43"/>
        <v>#VALUE!</v>
      </c>
      <c r="G247" s="3" t="e">
        <f t="shared" si="44"/>
        <v>#VALUE!</v>
      </c>
      <c r="H247" s="3">
        <v>561</v>
      </c>
      <c r="I247" s="8" t="e">
        <f t="shared" si="45"/>
        <v>#VALUE!</v>
      </c>
      <c r="J247" s="3">
        <v>144775</v>
      </c>
      <c r="K247" s="3" t="e">
        <f t="shared" si="46"/>
        <v>#VALUE!</v>
      </c>
      <c r="L247" s="8" t="e">
        <f t="shared" si="49"/>
        <v>#VALUE!</v>
      </c>
      <c r="M247" s="8" t="e">
        <f t="shared" si="50"/>
        <v>#VALUE!</v>
      </c>
      <c r="N247" s="3" t="e">
        <f t="shared" si="51"/>
        <v>#VALUE!</v>
      </c>
      <c r="O247" s="3" t="e">
        <f t="shared" si="52"/>
        <v>#VALUE!</v>
      </c>
      <c r="P247" s="3">
        <v>690</v>
      </c>
      <c r="Q247" s="3">
        <v>247938</v>
      </c>
      <c r="R247" s="3">
        <v>4</v>
      </c>
      <c r="T247" t="e">
        <f t="shared" si="54"/>
        <v>#VALUE!</v>
      </c>
      <c r="U247" t="e">
        <f t="shared" si="53"/>
        <v>#VALUE!</v>
      </c>
    </row>
    <row r="248" spans="1:21" x14ac:dyDescent="0.35">
      <c r="A248" s="1">
        <v>247</v>
      </c>
      <c r="B248" s="8">
        <v>113</v>
      </c>
      <c r="C248" s="3" t="e">
        <f t="shared" si="47"/>
        <v>#VALUE!</v>
      </c>
      <c r="D248" s="8" t="e">
        <f t="shared" si="42"/>
        <v>#VALUE!</v>
      </c>
      <c r="E248" s="3" t="e">
        <f t="shared" si="48"/>
        <v>#VALUE!</v>
      </c>
      <c r="F248" s="8" t="e">
        <f t="shared" si="43"/>
        <v>#VALUE!</v>
      </c>
      <c r="G248" s="3" t="e">
        <f t="shared" si="44"/>
        <v>#VALUE!</v>
      </c>
      <c r="H248" s="3">
        <v>449</v>
      </c>
      <c r="I248" s="8" t="e">
        <f t="shared" si="45"/>
        <v>#VALUE!</v>
      </c>
      <c r="J248" s="3">
        <v>211060</v>
      </c>
      <c r="K248" s="3" t="e">
        <f t="shared" si="46"/>
        <v>#VALUE!</v>
      </c>
      <c r="L248" s="8" t="e">
        <f t="shared" si="49"/>
        <v>#VALUE!</v>
      </c>
      <c r="M248" s="8" t="e">
        <f t="shared" si="50"/>
        <v>#VALUE!</v>
      </c>
      <c r="N248" s="3" t="e">
        <f t="shared" si="51"/>
        <v>#VALUE!</v>
      </c>
      <c r="O248" s="3" t="e">
        <f t="shared" si="52"/>
        <v>#VALUE!</v>
      </c>
      <c r="P248" s="3">
        <v>728</v>
      </c>
      <c r="Q248" s="3">
        <v>192163</v>
      </c>
      <c r="R248" s="3">
        <v>3</v>
      </c>
      <c r="T248" t="e">
        <f t="shared" si="54"/>
        <v>#VALUE!</v>
      </c>
      <c r="U248" t="e">
        <f t="shared" si="53"/>
        <v>#VALUE!</v>
      </c>
    </row>
    <row r="249" spans="1:21" x14ac:dyDescent="0.35">
      <c r="A249" s="1">
        <v>248</v>
      </c>
      <c r="B249" s="8">
        <v>217</v>
      </c>
      <c r="C249" s="3" t="e">
        <f t="shared" si="47"/>
        <v>#VALUE!</v>
      </c>
      <c r="D249" s="8" t="e">
        <f t="shared" si="42"/>
        <v>#VALUE!</v>
      </c>
      <c r="E249" s="3" t="e">
        <f t="shared" si="48"/>
        <v>#VALUE!</v>
      </c>
      <c r="F249" s="8" t="e">
        <f t="shared" si="43"/>
        <v>#VALUE!</v>
      </c>
      <c r="G249" s="3" t="e">
        <f t="shared" si="44"/>
        <v>#VALUE!</v>
      </c>
      <c r="H249" s="3">
        <v>894</v>
      </c>
      <c r="I249" s="8" t="e">
        <f t="shared" si="45"/>
        <v>#VALUE!</v>
      </c>
      <c r="J249" s="3">
        <v>171289</v>
      </c>
      <c r="K249" s="3" t="e">
        <f t="shared" si="46"/>
        <v>#VALUE!</v>
      </c>
      <c r="L249" s="8" t="e">
        <f t="shared" si="49"/>
        <v>#VALUE!</v>
      </c>
      <c r="M249" s="8" t="e">
        <f t="shared" si="50"/>
        <v>#VALUE!</v>
      </c>
      <c r="N249" s="3" t="e">
        <f t="shared" si="51"/>
        <v>#VALUE!</v>
      </c>
      <c r="O249" s="3" t="e">
        <f t="shared" si="52"/>
        <v>#VALUE!</v>
      </c>
      <c r="P249" s="3">
        <v>652</v>
      </c>
      <c r="Q249" s="3">
        <v>296722</v>
      </c>
      <c r="R249" s="3">
        <v>3</v>
      </c>
      <c r="T249" t="e">
        <f t="shared" si="54"/>
        <v>#VALUE!</v>
      </c>
      <c r="U249" t="e">
        <f t="shared" si="53"/>
        <v>#VALUE!</v>
      </c>
    </row>
    <row r="250" spans="1:21" x14ac:dyDescent="0.35">
      <c r="A250" s="1">
        <v>249</v>
      </c>
      <c r="B250" s="8">
        <v>140</v>
      </c>
      <c r="C250" s="3" t="e">
        <f t="shared" si="47"/>
        <v>#VALUE!</v>
      </c>
      <c r="D250" s="8" t="e">
        <f t="shared" si="42"/>
        <v>#VALUE!</v>
      </c>
      <c r="E250" s="3" t="e">
        <f t="shared" si="48"/>
        <v>#VALUE!</v>
      </c>
      <c r="F250" s="8" t="e">
        <f t="shared" si="43"/>
        <v>#VALUE!</v>
      </c>
      <c r="G250" s="3" t="e">
        <f t="shared" si="44"/>
        <v>#VALUE!</v>
      </c>
      <c r="H250" s="3">
        <v>213</v>
      </c>
      <c r="I250" s="8" t="e">
        <f t="shared" si="45"/>
        <v>#VALUE!</v>
      </c>
      <c r="J250" s="3">
        <v>132501</v>
      </c>
      <c r="K250" s="3" t="e">
        <f t="shared" si="46"/>
        <v>#VALUE!</v>
      </c>
      <c r="L250" s="8" t="e">
        <f t="shared" si="49"/>
        <v>#VALUE!</v>
      </c>
      <c r="M250" s="8" t="e">
        <f t="shared" si="50"/>
        <v>#VALUE!</v>
      </c>
      <c r="N250" s="3" t="e">
        <f t="shared" si="51"/>
        <v>#VALUE!</v>
      </c>
      <c r="O250" s="3" t="e">
        <f t="shared" si="52"/>
        <v>#VALUE!</v>
      </c>
      <c r="P250" s="3">
        <v>682</v>
      </c>
      <c r="Q250" s="3">
        <v>67876</v>
      </c>
      <c r="R250" s="3">
        <v>3</v>
      </c>
      <c r="T250" t="e">
        <f t="shared" si="54"/>
        <v>#VALUE!</v>
      </c>
      <c r="U250" t="e">
        <f t="shared" si="53"/>
        <v>#VALUE!</v>
      </c>
    </row>
    <row r="251" spans="1:21" x14ac:dyDescent="0.35">
      <c r="A251" s="1">
        <v>250</v>
      </c>
      <c r="B251" s="8">
        <v>182</v>
      </c>
      <c r="C251" s="3" t="e">
        <f t="shared" si="47"/>
        <v>#VALUE!</v>
      </c>
      <c r="D251" s="8" t="e">
        <f t="shared" si="42"/>
        <v>#VALUE!</v>
      </c>
      <c r="E251" s="3" t="e">
        <f t="shared" si="48"/>
        <v>#VALUE!</v>
      </c>
      <c r="F251" s="8" t="e">
        <f t="shared" si="43"/>
        <v>#VALUE!</v>
      </c>
      <c r="G251" s="3" t="e">
        <f t="shared" si="44"/>
        <v>#VALUE!</v>
      </c>
      <c r="H251" s="3">
        <v>831</v>
      </c>
      <c r="I251" s="8" t="e">
        <f t="shared" si="45"/>
        <v>#VALUE!</v>
      </c>
      <c r="J251" s="3">
        <v>180155</v>
      </c>
      <c r="K251" s="3" t="e">
        <f t="shared" si="46"/>
        <v>#VALUE!</v>
      </c>
      <c r="L251" s="8" t="e">
        <f t="shared" si="49"/>
        <v>#VALUE!</v>
      </c>
      <c r="M251" s="8" t="e">
        <f t="shared" si="50"/>
        <v>#VALUE!</v>
      </c>
      <c r="N251" s="3" t="e">
        <f t="shared" si="51"/>
        <v>#VALUE!</v>
      </c>
      <c r="O251" s="3" t="e">
        <f t="shared" si="52"/>
        <v>#VALUE!</v>
      </c>
      <c r="P251" s="3">
        <v>774</v>
      </c>
      <c r="Q251" s="3">
        <v>243217</v>
      </c>
      <c r="R251" s="3">
        <v>4</v>
      </c>
      <c r="T251" t="e">
        <f t="shared" si="54"/>
        <v>#VALUE!</v>
      </c>
      <c r="U251" t="e">
        <f t="shared" si="53"/>
        <v>#VALUE!</v>
      </c>
    </row>
    <row r="252" spans="1:21" x14ac:dyDescent="0.35">
      <c r="A252" s="1">
        <v>251</v>
      </c>
      <c r="B252" s="8">
        <v>10</v>
      </c>
      <c r="C252" s="3" t="e">
        <f t="shared" si="47"/>
        <v>#VALUE!</v>
      </c>
      <c r="D252" s="8" t="e">
        <f t="shared" si="42"/>
        <v>#VALUE!</v>
      </c>
      <c r="E252" s="3" t="e">
        <f t="shared" si="48"/>
        <v>#VALUE!</v>
      </c>
      <c r="F252" s="8" t="e">
        <f t="shared" si="43"/>
        <v>#VALUE!</v>
      </c>
      <c r="G252" s="3" t="e">
        <f t="shared" si="44"/>
        <v>#VALUE!</v>
      </c>
      <c r="H252" s="3">
        <v>392</v>
      </c>
      <c r="I252" s="8" t="e">
        <f t="shared" si="45"/>
        <v>#VALUE!</v>
      </c>
      <c r="J252" s="3">
        <v>210279</v>
      </c>
      <c r="K252" s="3" t="e">
        <f t="shared" si="46"/>
        <v>#VALUE!</v>
      </c>
      <c r="L252" s="8" t="e">
        <f t="shared" si="49"/>
        <v>#VALUE!</v>
      </c>
      <c r="M252" s="8" t="e">
        <f t="shared" si="50"/>
        <v>#VALUE!</v>
      </c>
      <c r="N252" s="3" t="e">
        <f t="shared" si="51"/>
        <v>#VALUE!</v>
      </c>
      <c r="O252" s="3" t="e">
        <f t="shared" si="52"/>
        <v>#VALUE!</v>
      </c>
      <c r="P252" s="3">
        <v>795</v>
      </c>
      <c r="Q252" s="3">
        <v>243914</v>
      </c>
      <c r="R252" s="3">
        <v>5</v>
      </c>
      <c r="T252" t="e">
        <f t="shared" si="54"/>
        <v>#VALUE!</v>
      </c>
      <c r="U252" t="e">
        <f t="shared" si="53"/>
        <v>#VALUE!</v>
      </c>
    </row>
    <row r="253" spans="1:21" x14ac:dyDescent="0.35">
      <c r="A253" s="1">
        <v>252</v>
      </c>
      <c r="B253" s="8">
        <v>165</v>
      </c>
      <c r="C253" s="3" t="e">
        <f t="shared" si="47"/>
        <v>#VALUE!</v>
      </c>
      <c r="D253" s="8" t="e">
        <f t="shared" si="42"/>
        <v>#VALUE!</v>
      </c>
      <c r="E253" s="3" t="e">
        <f t="shared" si="48"/>
        <v>#VALUE!</v>
      </c>
      <c r="F253" s="8" t="e">
        <f t="shared" si="43"/>
        <v>#VALUE!</v>
      </c>
      <c r="G253" s="3" t="e">
        <f t="shared" si="44"/>
        <v>#VALUE!</v>
      </c>
      <c r="H253" s="3">
        <v>602</v>
      </c>
      <c r="I253" s="8" t="e">
        <f t="shared" si="45"/>
        <v>#VALUE!</v>
      </c>
      <c r="J253" s="3">
        <v>154322</v>
      </c>
      <c r="K253" s="3" t="e">
        <f t="shared" si="46"/>
        <v>#VALUE!</v>
      </c>
      <c r="L253" s="8" t="e">
        <f t="shared" si="49"/>
        <v>#VALUE!</v>
      </c>
      <c r="M253" s="8" t="e">
        <f t="shared" si="50"/>
        <v>#VALUE!</v>
      </c>
      <c r="N253" s="3" t="e">
        <f t="shared" si="51"/>
        <v>#VALUE!</v>
      </c>
      <c r="O253" s="3" t="e">
        <f t="shared" si="52"/>
        <v>#VALUE!</v>
      </c>
      <c r="P253" s="3">
        <v>605</v>
      </c>
      <c r="Q253" s="3">
        <v>312078</v>
      </c>
      <c r="R253" s="3">
        <v>3</v>
      </c>
      <c r="T253" t="e">
        <f t="shared" si="54"/>
        <v>#VALUE!</v>
      </c>
      <c r="U253" t="e">
        <f t="shared" si="53"/>
        <v>#VALUE!</v>
      </c>
    </row>
    <row r="254" spans="1:21" x14ac:dyDescent="0.35">
      <c r="A254" s="1">
        <v>253</v>
      </c>
      <c r="B254" s="8">
        <v>68</v>
      </c>
      <c r="C254" s="3" t="e">
        <f t="shared" si="47"/>
        <v>#VALUE!</v>
      </c>
      <c r="D254" s="8" t="e">
        <f t="shared" si="42"/>
        <v>#VALUE!</v>
      </c>
      <c r="E254" s="3" t="e">
        <f t="shared" si="48"/>
        <v>#VALUE!</v>
      </c>
      <c r="F254" s="8" t="e">
        <f t="shared" si="43"/>
        <v>#VALUE!</v>
      </c>
      <c r="G254" s="3" t="e">
        <f t="shared" si="44"/>
        <v>#VALUE!</v>
      </c>
      <c r="H254" s="3">
        <v>399</v>
      </c>
      <c r="I254" s="8" t="e">
        <f t="shared" si="45"/>
        <v>#VALUE!</v>
      </c>
      <c r="J254" s="3">
        <v>126431</v>
      </c>
      <c r="K254" s="3" t="e">
        <f t="shared" si="46"/>
        <v>#VALUE!</v>
      </c>
      <c r="L254" s="8" t="e">
        <f t="shared" si="49"/>
        <v>#VALUE!</v>
      </c>
      <c r="M254" s="8" t="e">
        <f t="shared" si="50"/>
        <v>#VALUE!</v>
      </c>
      <c r="N254" s="3" t="e">
        <f t="shared" si="51"/>
        <v>#VALUE!</v>
      </c>
      <c r="O254" s="3" t="e">
        <f t="shared" si="52"/>
        <v>#VALUE!</v>
      </c>
      <c r="P254" s="3">
        <v>615</v>
      </c>
      <c r="Q254" s="3">
        <v>160959</v>
      </c>
      <c r="R254" s="3">
        <v>4</v>
      </c>
      <c r="T254" t="e">
        <f t="shared" si="54"/>
        <v>#VALUE!</v>
      </c>
      <c r="U254" t="e">
        <f t="shared" si="53"/>
        <v>#VALUE!</v>
      </c>
    </row>
    <row r="255" spans="1:21" x14ac:dyDescent="0.35">
      <c r="A255" s="1">
        <v>254</v>
      </c>
      <c r="B255" s="8">
        <v>104</v>
      </c>
      <c r="C255" s="3" t="e">
        <f t="shared" si="47"/>
        <v>#VALUE!</v>
      </c>
      <c r="D255" s="8" t="e">
        <f t="shared" si="42"/>
        <v>#VALUE!</v>
      </c>
      <c r="E255" s="3" t="e">
        <f t="shared" si="48"/>
        <v>#VALUE!</v>
      </c>
      <c r="F255" s="8" t="e">
        <f t="shared" si="43"/>
        <v>#VALUE!</v>
      </c>
      <c r="G255" s="3" t="e">
        <f t="shared" si="44"/>
        <v>#VALUE!</v>
      </c>
      <c r="H255" s="3">
        <v>570</v>
      </c>
      <c r="I255" s="8" t="e">
        <f t="shared" si="45"/>
        <v>#VALUE!</v>
      </c>
      <c r="J255" s="3">
        <v>74812</v>
      </c>
      <c r="K255" s="3" t="e">
        <f t="shared" si="46"/>
        <v>#VALUE!</v>
      </c>
      <c r="L255" s="8" t="e">
        <f t="shared" si="49"/>
        <v>#VALUE!</v>
      </c>
      <c r="M255" s="8" t="e">
        <f t="shared" si="50"/>
        <v>#VALUE!</v>
      </c>
      <c r="N255" s="3" t="e">
        <f t="shared" si="51"/>
        <v>#VALUE!</v>
      </c>
      <c r="O255" s="3" t="e">
        <f t="shared" si="52"/>
        <v>#VALUE!</v>
      </c>
      <c r="P255" s="3">
        <v>637</v>
      </c>
      <c r="Q255" s="3">
        <v>178138</v>
      </c>
      <c r="R255" s="3">
        <v>4</v>
      </c>
      <c r="T255" t="e">
        <f t="shared" si="54"/>
        <v>#VALUE!</v>
      </c>
      <c r="U255" t="e">
        <f t="shared" si="53"/>
        <v>#VALUE!</v>
      </c>
    </row>
    <row r="256" spans="1:21" x14ac:dyDescent="0.35">
      <c r="A256" s="1">
        <v>255</v>
      </c>
      <c r="B256" s="8">
        <v>72</v>
      </c>
      <c r="C256" s="3" t="e">
        <f t="shared" si="47"/>
        <v>#VALUE!</v>
      </c>
      <c r="D256" s="8" t="e">
        <f t="shared" si="42"/>
        <v>#VALUE!</v>
      </c>
      <c r="E256" s="3" t="e">
        <f t="shared" si="48"/>
        <v>#VALUE!</v>
      </c>
      <c r="F256" s="8" t="e">
        <f t="shared" si="43"/>
        <v>#VALUE!</v>
      </c>
      <c r="G256" s="3" t="e">
        <f t="shared" si="44"/>
        <v>#VALUE!</v>
      </c>
      <c r="H256" s="3">
        <v>449</v>
      </c>
      <c r="I256" s="8" t="e">
        <f t="shared" si="45"/>
        <v>#VALUE!</v>
      </c>
      <c r="J256" s="3">
        <v>185663</v>
      </c>
      <c r="K256" s="3" t="e">
        <f t="shared" si="46"/>
        <v>#VALUE!</v>
      </c>
      <c r="L256" s="8" t="e">
        <f t="shared" si="49"/>
        <v>#VALUE!</v>
      </c>
      <c r="M256" s="8" t="e">
        <f t="shared" si="50"/>
        <v>#VALUE!</v>
      </c>
      <c r="N256" s="3" t="e">
        <f t="shared" si="51"/>
        <v>#VALUE!</v>
      </c>
      <c r="O256" s="3" t="e">
        <f t="shared" si="52"/>
        <v>#VALUE!</v>
      </c>
      <c r="P256" s="3">
        <v>776</v>
      </c>
      <c r="Q256" s="3">
        <v>158520</v>
      </c>
      <c r="R256" s="3">
        <v>3</v>
      </c>
      <c r="T256" t="e">
        <f t="shared" si="54"/>
        <v>#VALUE!</v>
      </c>
      <c r="U256" t="e">
        <f t="shared" si="53"/>
        <v>#VALUE!</v>
      </c>
    </row>
    <row r="257" spans="1:21" x14ac:dyDescent="0.35">
      <c r="A257" s="1">
        <v>256</v>
      </c>
      <c r="B257" s="8">
        <v>243</v>
      </c>
      <c r="C257" s="3" t="e">
        <f t="shared" si="47"/>
        <v>#VALUE!</v>
      </c>
      <c r="D257" s="8" t="e">
        <f t="shared" si="42"/>
        <v>#VALUE!</v>
      </c>
      <c r="E257" s="3" t="e">
        <f t="shared" si="48"/>
        <v>#VALUE!</v>
      </c>
      <c r="F257" s="8" t="e">
        <f t="shared" si="43"/>
        <v>#VALUE!</v>
      </c>
      <c r="G257" s="3" t="e">
        <f t="shared" si="44"/>
        <v>#VALUE!</v>
      </c>
      <c r="H257" s="3">
        <v>711</v>
      </c>
      <c r="I257" s="8" t="e">
        <f t="shared" si="45"/>
        <v>#VALUE!</v>
      </c>
      <c r="J257" s="3">
        <v>160991</v>
      </c>
      <c r="K257" s="3" t="e">
        <f t="shared" si="46"/>
        <v>#VALUE!</v>
      </c>
      <c r="L257" s="8" t="e">
        <f t="shared" si="49"/>
        <v>#VALUE!</v>
      </c>
      <c r="M257" s="8" t="e">
        <f t="shared" si="50"/>
        <v>#VALUE!</v>
      </c>
      <c r="N257" s="3" t="e">
        <f t="shared" si="51"/>
        <v>#VALUE!</v>
      </c>
      <c r="O257" s="3" t="e">
        <f t="shared" si="52"/>
        <v>#VALUE!</v>
      </c>
      <c r="P257" s="3">
        <v>579</v>
      </c>
      <c r="Q257" s="3">
        <v>168445</v>
      </c>
      <c r="R257" s="3">
        <v>3</v>
      </c>
      <c r="T257" t="e">
        <f t="shared" si="54"/>
        <v>#VALUE!</v>
      </c>
      <c r="U257" t="e">
        <f t="shared" si="53"/>
        <v>#VALUE!</v>
      </c>
    </row>
    <row r="258" spans="1:21" x14ac:dyDescent="0.35">
      <c r="A258" s="1">
        <v>257</v>
      </c>
      <c r="B258" s="8">
        <v>66</v>
      </c>
      <c r="C258" s="3" t="e">
        <f t="shared" si="47"/>
        <v>#VALUE!</v>
      </c>
      <c r="D258" s="8" t="e">
        <f t="shared" ref="D258:D281" si="55">VLOOKUP(C258,$W$8:$X$10,2,FALSE)</f>
        <v>#VALUE!</v>
      </c>
      <c r="E258" s="3" t="e">
        <f t="shared" si="48"/>
        <v>#VALUE!</v>
      </c>
      <c r="F258" s="8" t="e">
        <f t="shared" ref="F258:F281" si="56">VLOOKUP(E258,$W$2:$X$4,2,FALSE)</f>
        <v>#VALUE!</v>
      </c>
      <c r="G258" s="3" t="e">
        <f t="shared" ref="G258:G281" si="57">MID($W$22,MOD(ROW(G258),5)+1,1)*(-1)^ROW(G258)</f>
        <v>#VALUE!</v>
      </c>
      <c r="H258" s="3">
        <v>284</v>
      </c>
      <c r="I258" s="8" t="e">
        <f t="shared" ref="I258:I281" si="58">H258+G258</f>
        <v>#VALUE!</v>
      </c>
      <c r="J258" s="3">
        <v>116002</v>
      </c>
      <c r="K258" s="3" t="e">
        <f t="shared" ref="K258:K281" si="59">$X$22</f>
        <v>#VALUE!</v>
      </c>
      <c r="L258" s="8" t="e">
        <f t="shared" si="49"/>
        <v>#VALUE!</v>
      </c>
      <c r="M258" s="8" t="e">
        <f t="shared" si="50"/>
        <v>#VALUE!</v>
      </c>
      <c r="N258" s="3" t="e">
        <f t="shared" si="51"/>
        <v>#VALUE!</v>
      </c>
      <c r="O258" s="3" t="e">
        <f t="shared" si="52"/>
        <v>#VALUE!</v>
      </c>
      <c r="P258" s="3">
        <v>638</v>
      </c>
      <c r="Q258" s="3">
        <v>147642</v>
      </c>
      <c r="R258" s="3">
        <v>4</v>
      </c>
      <c r="T258" t="e">
        <f t="shared" si="54"/>
        <v>#VALUE!</v>
      </c>
      <c r="U258" t="e">
        <f t="shared" si="53"/>
        <v>#VALUE!</v>
      </c>
    </row>
    <row r="259" spans="1:21" x14ac:dyDescent="0.35">
      <c r="A259" s="1">
        <v>258</v>
      </c>
      <c r="B259" s="8">
        <v>128</v>
      </c>
      <c r="C259" s="3" t="e">
        <f t="shared" ref="C259:C281" si="60">VALUE(MID(U259,MOD(A259,5)+1,1))</f>
        <v>#VALUE!</v>
      </c>
      <c r="D259" s="8" t="e">
        <f t="shared" si="55"/>
        <v>#VALUE!</v>
      </c>
      <c r="E259" s="3" t="e">
        <f t="shared" ref="E259:E281" si="61">VALUE(MID(U259,(5-MOD(A259,4)),1))</f>
        <v>#VALUE!</v>
      </c>
      <c r="F259" s="8" t="e">
        <f t="shared" si="56"/>
        <v>#VALUE!</v>
      </c>
      <c r="G259" s="3" t="e">
        <f t="shared" si="57"/>
        <v>#VALUE!</v>
      </c>
      <c r="H259" s="3">
        <v>106</v>
      </c>
      <c r="I259" s="8" t="e">
        <f t="shared" si="58"/>
        <v>#VALUE!</v>
      </c>
      <c r="J259" s="3">
        <v>236142</v>
      </c>
      <c r="K259" s="3" t="e">
        <f t="shared" si="59"/>
        <v>#VALUE!</v>
      </c>
      <c r="L259" s="8" t="e">
        <f t="shared" ref="L259:L322" si="62">VLOOKUP(O259,$Z$2:$AA$5,2,FALSE)</f>
        <v>#VALUE!</v>
      </c>
      <c r="M259" s="8" t="e">
        <f t="shared" ref="M259:M322" si="63">VLOOKUP(N259,$Z$8:$AA$10,2,FALSE)</f>
        <v>#VALUE!</v>
      </c>
      <c r="N259" s="3" t="e">
        <f t="shared" ref="N259:N322" si="64">VALUE(MID(U259,(5-MOD(A259,3)),1))</f>
        <v>#VALUE!</v>
      </c>
      <c r="O259" s="3" t="e">
        <f t="shared" ref="O259:O322" si="65">N260+N261</f>
        <v>#VALUE!</v>
      </c>
      <c r="P259" s="3">
        <v>677</v>
      </c>
      <c r="Q259" s="3">
        <v>153954</v>
      </c>
      <c r="R259" s="3">
        <v>5</v>
      </c>
      <c r="T259" t="e">
        <f t="shared" si="54"/>
        <v>#VALUE!</v>
      </c>
      <c r="U259" t="e">
        <f t="shared" ref="U259:U322" si="66">DEC2BIN(T259)</f>
        <v>#VALUE!</v>
      </c>
    </row>
    <row r="260" spans="1:21" x14ac:dyDescent="0.35">
      <c r="A260" s="1">
        <v>259</v>
      </c>
      <c r="B260" s="8">
        <v>132</v>
      </c>
      <c r="C260" s="3" t="e">
        <f t="shared" si="60"/>
        <v>#VALUE!</v>
      </c>
      <c r="D260" s="8" t="e">
        <f t="shared" si="55"/>
        <v>#VALUE!</v>
      </c>
      <c r="E260" s="3" t="e">
        <f t="shared" si="61"/>
        <v>#VALUE!</v>
      </c>
      <c r="F260" s="8" t="e">
        <f t="shared" si="56"/>
        <v>#VALUE!</v>
      </c>
      <c r="G260" s="3" t="e">
        <f t="shared" si="57"/>
        <v>#VALUE!</v>
      </c>
      <c r="H260" s="3">
        <v>522</v>
      </c>
      <c r="I260" s="8" t="e">
        <f t="shared" si="58"/>
        <v>#VALUE!</v>
      </c>
      <c r="J260" s="3">
        <v>141353</v>
      </c>
      <c r="K260" s="3" t="e">
        <f t="shared" si="59"/>
        <v>#VALUE!</v>
      </c>
      <c r="L260" s="8" t="e">
        <f t="shared" si="62"/>
        <v>#VALUE!</v>
      </c>
      <c r="M260" s="8" t="e">
        <f t="shared" si="63"/>
        <v>#VALUE!</v>
      </c>
      <c r="N260" s="3" t="e">
        <f t="shared" si="64"/>
        <v>#VALUE!</v>
      </c>
      <c r="O260" s="3" t="e">
        <f t="shared" si="65"/>
        <v>#VALUE!</v>
      </c>
      <c r="P260" s="3">
        <v>630</v>
      </c>
      <c r="Q260" s="3">
        <v>264248</v>
      </c>
      <c r="R260" s="3">
        <v>3</v>
      </c>
      <c r="T260" t="e">
        <f t="shared" ref="T260:T323" si="67">T259+1</f>
        <v>#VALUE!</v>
      </c>
      <c r="U260" t="e">
        <f t="shared" si="66"/>
        <v>#VALUE!</v>
      </c>
    </row>
    <row r="261" spans="1:21" x14ac:dyDescent="0.35">
      <c r="A261" s="1">
        <v>260</v>
      </c>
      <c r="B261" s="8">
        <v>133</v>
      </c>
      <c r="C261" s="3" t="e">
        <f t="shared" si="60"/>
        <v>#VALUE!</v>
      </c>
      <c r="D261" s="8" t="e">
        <f t="shared" si="55"/>
        <v>#VALUE!</v>
      </c>
      <c r="E261" s="3" t="e">
        <f t="shared" si="61"/>
        <v>#VALUE!</v>
      </c>
      <c r="F261" s="8" t="e">
        <f t="shared" si="56"/>
        <v>#VALUE!</v>
      </c>
      <c r="G261" s="3" t="e">
        <f t="shared" si="57"/>
        <v>#VALUE!</v>
      </c>
      <c r="H261" s="3">
        <v>402</v>
      </c>
      <c r="I261" s="8" t="e">
        <f t="shared" si="58"/>
        <v>#VALUE!</v>
      </c>
      <c r="J261" s="3">
        <v>70281</v>
      </c>
      <c r="K261" s="3" t="e">
        <f t="shared" si="59"/>
        <v>#VALUE!</v>
      </c>
      <c r="L261" s="8" t="e">
        <f t="shared" si="62"/>
        <v>#VALUE!</v>
      </c>
      <c r="M261" s="8" t="e">
        <f t="shared" si="63"/>
        <v>#VALUE!</v>
      </c>
      <c r="N261" s="3" t="e">
        <f t="shared" si="64"/>
        <v>#VALUE!</v>
      </c>
      <c r="O261" s="3" t="e">
        <f t="shared" si="65"/>
        <v>#VALUE!</v>
      </c>
      <c r="P261" s="3">
        <v>896</v>
      </c>
      <c r="Q261" s="3">
        <v>198349</v>
      </c>
      <c r="R261" s="3">
        <v>3</v>
      </c>
      <c r="T261" t="e">
        <f t="shared" si="67"/>
        <v>#VALUE!</v>
      </c>
      <c r="U261" t="e">
        <f t="shared" si="66"/>
        <v>#VALUE!</v>
      </c>
    </row>
    <row r="262" spans="1:21" x14ac:dyDescent="0.35">
      <c r="A262" s="1">
        <v>261</v>
      </c>
      <c r="B262" s="8">
        <v>212</v>
      </c>
      <c r="C262" s="3" t="e">
        <f t="shared" si="60"/>
        <v>#VALUE!</v>
      </c>
      <c r="D262" s="8" t="e">
        <f t="shared" si="55"/>
        <v>#VALUE!</v>
      </c>
      <c r="E262" s="3" t="e">
        <f t="shared" si="61"/>
        <v>#VALUE!</v>
      </c>
      <c r="F262" s="8" t="e">
        <f t="shared" si="56"/>
        <v>#VALUE!</v>
      </c>
      <c r="G262" s="3" t="e">
        <f t="shared" si="57"/>
        <v>#VALUE!</v>
      </c>
      <c r="H262" s="3">
        <v>702</v>
      </c>
      <c r="I262" s="8" t="e">
        <f t="shared" si="58"/>
        <v>#VALUE!</v>
      </c>
      <c r="J262" s="3">
        <v>155095</v>
      </c>
      <c r="K262" s="3" t="e">
        <f t="shared" si="59"/>
        <v>#VALUE!</v>
      </c>
      <c r="L262" s="8" t="e">
        <f t="shared" si="62"/>
        <v>#VALUE!</v>
      </c>
      <c r="M262" s="8" t="e">
        <f t="shared" si="63"/>
        <v>#VALUE!</v>
      </c>
      <c r="N262" s="3" t="e">
        <f t="shared" si="64"/>
        <v>#VALUE!</v>
      </c>
      <c r="O262" s="3" t="e">
        <f t="shared" si="65"/>
        <v>#VALUE!</v>
      </c>
      <c r="P262" s="3">
        <v>744</v>
      </c>
      <c r="Q262" s="3">
        <v>133865</v>
      </c>
      <c r="R262" s="3">
        <v>3</v>
      </c>
      <c r="T262" t="e">
        <f t="shared" si="67"/>
        <v>#VALUE!</v>
      </c>
      <c r="U262" t="e">
        <f t="shared" si="66"/>
        <v>#VALUE!</v>
      </c>
    </row>
    <row r="263" spans="1:21" x14ac:dyDescent="0.35">
      <c r="A263" s="1">
        <v>262</v>
      </c>
      <c r="B263" s="8">
        <v>123</v>
      </c>
      <c r="C263" s="3" t="e">
        <f t="shared" si="60"/>
        <v>#VALUE!</v>
      </c>
      <c r="D263" s="8" t="e">
        <f t="shared" si="55"/>
        <v>#VALUE!</v>
      </c>
      <c r="E263" s="3" t="e">
        <f t="shared" si="61"/>
        <v>#VALUE!</v>
      </c>
      <c r="F263" s="8" t="e">
        <f t="shared" si="56"/>
        <v>#VALUE!</v>
      </c>
      <c r="G263" s="3" t="e">
        <f t="shared" si="57"/>
        <v>#VALUE!</v>
      </c>
      <c r="H263" s="3">
        <v>354</v>
      </c>
      <c r="I263" s="8" t="e">
        <f t="shared" si="58"/>
        <v>#VALUE!</v>
      </c>
      <c r="J263" s="3">
        <v>240643</v>
      </c>
      <c r="K263" s="3" t="e">
        <f t="shared" si="59"/>
        <v>#VALUE!</v>
      </c>
      <c r="L263" s="8" t="e">
        <f t="shared" si="62"/>
        <v>#VALUE!</v>
      </c>
      <c r="M263" s="8" t="e">
        <f t="shared" si="63"/>
        <v>#VALUE!</v>
      </c>
      <c r="N263" s="3" t="e">
        <f t="shared" si="64"/>
        <v>#VALUE!</v>
      </c>
      <c r="O263" s="3" t="e">
        <f t="shared" si="65"/>
        <v>#VALUE!</v>
      </c>
      <c r="P263" s="3">
        <v>814</v>
      </c>
      <c r="Q263" s="3">
        <v>291267</v>
      </c>
      <c r="R263" s="3">
        <v>3</v>
      </c>
      <c r="T263" t="e">
        <f t="shared" si="67"/>
        <v>#VALUE!</v>
      </c>
      <c r="U263" t="e">
        <f t="shared" si="66"/>
        <v>#VALUE!</v>
      </c>
    </row>
    <row r="264" spans="1:21" x14ac:dyDescent="0.35">
      <c r="A264" s="1">
        <v>263</v>
      </c>
      <c r="B264" s="8">
        <v>257</v>
      </c>
      <c r="C264" s="3" t="e">
        <f t="shared" si="60"/>
        <v>#VALUE!</v>
      </c>
      <c r="D264" s="8" t="e">
        <f t="shared" si="55"/>
        <v>#VALUE!</v>
      </c>
      <c r="E264" s="3" t="e">
        <f t="shared" si="61"/>
        <v>#VALUE!</v>
      </c>
      <c r="F264" s="8" t="e">
        <f t="shared" si="56"/>
        <v>#VALUE!</v>
      </c>
      <c r="G264" s="3" t="e">
        <f t="shared" si="57"/>
        <v>#VALUE!</v>
      </c>
      <c r="H264" s="3">
        <v>638</v>
      </c>
      <c r="I264" s="8" t="e">
        <f t="shared" si="58"/>
        <v>#VALUE!</v>
      </c>
      <c r="J264" s="3">
        <v>147642</v>
      </c>
      <c r="K264" s="3" t="e">
        <f t="shared" si="59"/>
        <v>#VALUE!</v>
      </c>
      <c r="L264" s="8" t="e">
        <f t="shared" si="62"/>
        <v>#VALUE!</v>
      </c>
      <c r="M264" s="8" t="e">
        <f t="shared" si="63"/>
        <v>#VALUE!</v>
      </c>
      <c r="N264" s="3" t="e">
        <f t="shared" si="64"/>
        <v>#VALUE!</v>
      </c>
      <c r="O264" s="3" t="e">
        <f t="shared" si="65"/>
        <v>#VALUE!</v>
      </c>
      <c r="P264" s="3">
        <v>741</v>
      </c>
      <c r="Q264" s="3">
        <v>192501</v>
      </c>
      <c r="R264" s="3">
        <v>4</v>
      </c>
      <c r="T264" t="e">
        <f t="shared" si="67"/>
        <v>#VALUE!</v>
      </c>
      <c r="U264" t="e">
        <f t="shared" si="66"/>
        <v>#VALUE!</v>
      </c>
    </row>
    <row r="265" spans="1:21" x14ac:dyDescent="0.35">
      <c r="A265" s="1">
        <v>264</v>
      </c>
      <c r="B265" s="8">
        <v>180</v>
      </c>
      <c r="C265" s="3" t="e">
        <f t="shared" si="60"/>
        <v>#VALUE!</v>
      </c>
      <c r="D265" s="8" t="e">
        <f t="shared" si="55"/>
        <v>#VALUE!</v>
      </c>
      <c r="E265" s="3" t="e">
        <f t="shared" si="61"/>
        <v>#VALUE!</v>
      </c>
      <c r="F265" s="8" t="e">
        <f t="shared" si="56"/>
        <v>#VALUE!</v>
      </c>
      <c r="G265" s="3" t="e">
        <f t="shared" si="57"/>
        <v>#VALUE!</v>
      </c>
      <c r="H265" s="3">
        <v>743</v>
      </c>
      <c r="I265" s="8" t="e">
        <f t="shared" si="58"/>
        <v>#VALUE!</v>
      </c>
      <c r="J265" s="3">
        <v>184080</v>
      </c>
      <c r="K265" s="3" t="e">
        <f t="shared" si="59"/>
        <v>#VALUE!</v>
      </c>
      <c r="L265" s="8" t="e">
        <f t="shared" si="62"/>
        <v>#VALUE!</v>
      </c>
      <c r="M265" s="8" t="e">
        <f t="shared" si="63"/>
        <v>#VALUE!</v>
      </c>
      <c r="N265" s="3" t="e">
        <f t="shared" si="64"/>
        <v>#VALUE!</v>
      </c>
      <c r="O265" s="3" t="e">
        <f t="shared" si="65"/>
        <v>#VALUE!</v>
      </c>
      <c r="P265" s="3">
        <v>831</v>
      </c>
      <c r="Q265" s="3">
        <v>326087</v>
      </c>
      <c r="R265" s="3">
        <v>4</v>
      </c>
      <c r="T265" t="e">
        <f t="shared" si="67"/>
        <v>#VALUE!</v>
      </c>
      <c r="U265" t="e">
        <f t="shared" si="66"/>
        <v>#VALUE!</v>
      </c>
    </row>
    <row r="266" spans="1:21" x14ac:dyDescent="0.35">
      <c r="A266" s="1">
        <v>265</v>
      </c>
      <c r="B266" s="8">
        <v>150</v>
      </c>
      <c r="C266" s="3" t="e">
        <f t="shared" si="60"/>
        <v>#VALUE!</v>
      </c>
      <c r="D266" s="8" t="e">
        <f t="shared" si="55"/>
        <v>#VALUE!</v>
      </c>
      <c r="E266" s="3" t="e">
        <f t="shared" si="61"/>
        <v>#VALUE!</v>
      </c>
      <c r="F266" s="8" t="e">
        <f t="shared" si="56"/>
        <v>#VALUE!</v>
      </c>
      <c r="G266" s="3" t="e">
        <f t="shared" si="57"/>
        <v>#VALUE!</v>
      </c>
      <c r="H266" s="3">
        <v>629</v>
      </c>
      <c r="I266" s="8" t="e">
        <f t="shared" si="58"/>
        <v>#VALUE!</v>
      </c>
      <c r="J266" s="3">
        <v>192798</v>
      </c>
      <c r="K266" s="3" t="e">
        <f t="shared" si="59"/>
        <v>#VALUE!</v>
      </c>
      <c r="L266" s="8" t="e">
        <f t="shared" si="62"/>
        <v>#VALUE!</v>
      </c>
      <c r="M266" s="8" t="e">
        <f t="shared" si="63"/>
        <v>#VALUE!</v>
      </c>
      <c r="N266" s="3" t="e">
        <f t="shared" si="64"/>
        <v>#VALUE!</v>
      </c>
      <c r="O266" s="3" t="e">
        <f t="shared" si="65"/>
        <v>#VALUE!</v>
      </c>
      <c r="P266" s="3">
        <v>650</v>
      </c>
      <c r="Q266" s="3">
        <v>236957</v>
      </c>
      <c r="R266" s="3">
        <v>3</v>
      </c>
      <c r="T266" t="e">
        <f t="shared" si="67"/>
        <v>#VALUE!</v>
      </c>
      <c r="U266" t="e">
        <f t="shared" si="66"/>
        <v>#VALUE!</v>
      </c>
    </row>
    <row r="267" spans="1:21" x14ac:dyDescent="0.35">
      <c r="A267" s="1">
        <v>266</v>
      </c>
      <c r="B267" s="8">
        <v>14</v>
      </c>
      <c r="C267" s="3" t="e">
        <f t="shared" si="60"/>
        <v>#VALUE!</v>
      </c>
      <c r="D267" s="8" t="e">
        <f t="shared" si="55"/>
        <v>#VALUE!</v>
      </c>
      <c r="E267" s="3" t="e">
        <f t="shared" si="61"/>
        <v>#VALUE!</v>
      </c>
      <c r="F267" s="8" t="e">
        <f t="shared" si="56"/>
        <v>#VALUE!</v>
      </c>
      <c r="G267" s="3" t="e">
        <f t="shared" si="57"/>
        <v>#VALUE!</v>
      </c>
      <c r="H267" s="3">
        <v>230</v>
      </c>
      <c r="I267" s="8" t="e">
        <f t="shared" si="58"/>
        <v>#VALUE!</v>
      </c>
      <c r="J267" s="3">
        <v>213906</v>
      </c>
      <c r="K267" s="3" t="e">
        <f t="shared" si="59"/>
        <v>#VALUE!</v>
      </c>
      <c r="L267" s="8" t="e">
        <f t="shared" si="62"/>
        <v>#VALUE!</v>
      </c>
      <c r="M267" s="8" t="e">
        <f t="shared" si="63"/>
        <v>#VALUE!</v>
      </c>
      <c r="N267" s="3" t="e">
        <f t="shared" si="64"/>
        <v>#VALUE!</v>
      </c>
      <c r="O267" s="3" t="e">
        <f t="shared" si="65"/>
        <v>#VALUE!</v>
      </c>
      <c r="P267" s="3">
        <v>681</v>
      </c>
      <c r="Q267" s="3">
        <v>120607</v>
      </c>
      <c r="R267" s="3">
        <v>4</v>
      </c>
      <c r="T267" t="e">
        <f t="shared" si="67"/>
        <v>#VALUE!</v>
      </c>
      <c r="U267" t="e">
        <f t="shared" si="66"/>
        <v>#VALUE!</v>
      </c>
    </row>
    <row r="268" spans="1:21" x14ac:dyDescent="0.35">
      <c r="A268" s="1">
        <v>267</v>
      </c>
      <c r="B268" s="8">
        <v>246</v>
      </c>
      <c r="C268" s="3" t="e">
        <f t="shared" si="60"/>
        <v>#VALUE!</v>
      </c>
      <c r="D268" s="8" t="e">
        <f t="shared" si="55"/>
        <v>#VALUE!</v>
      </c>
      <c r="E268" s="3" t="e">
        <f t="shared" si="61"/>
        <v>#VALUE!</v>
      </c>
      <c r="F268" s="8" t="e">
        <f t="shared" si="56"/>
        <v>#VALUE!</v>
      </c>
      <c r="G268" s="3" t="e">
        <f t="shared" si="57"/>
        <v>#VALUE!</v>
      </c>
      <c r="H268" s="3">
        <v>690</v>
      </c>
      <c r="I268" s="8" t="e">
        <f t="shared" si="58"/>
        <v>#VALUE!</v>
      </c>
      <c r="J268" s="3">
        <v>247938</v>
      </c>
      <c r="K268" s="3" t="e">
        <f t="shared" si="59"/>
        <v>#VALUE!</v>
      </c>
      <c r="L268" s="8" t="e">
        <f t="shared" si="62"/>
        <v>#VALUE!</v>
      </c>
      <c r="M268" s="8" t="e">
        <f t="shared" si="63"/>
        <v>#VALUE!</v>
      </c>
      <c r="N268" s="3" t="e">
        <f t="shared" si="64"/>
        <v>#VALUE!</v>
      </c>
      <c r="O268" s="3" t="e">
        <f t="shared" si="65"/>
        <v>#VALUE!</v>
      </c>
      <c r="P268" s="3">
        <v>674</v>
      </c>
      <c r="Q268" s="3">
        <v>260903</v>
      </c>
      <c r="R268" s="3">
        <v>4</v>
      </c>
      <c r="T268" t="e">
        <f t="shared" si="67"/>
        <v>#VALUE!</v>
      </c>
      <c r="U268" t="e">
        <f t="shared" si="66"/>
        <v>#VALUE!</v>
      </c>
    </row>
    <row r="269" spans="1:21" x14ac:dyDescent="0.35">
      <c r="A269" s="1">
        <v>268</v>
      </c>
      <c r="B269" s="8">
        <v>175</v>
      </c>
      <c r="C269" s="3" t="e">
        <f t="shared" si="60"/>
        <v>#VALUE!</v>
      </c>
      <c r="D269" s="8" t="e">
        <f t="shared" si="55"/>
        <v>#VALUE!</v>
      </c>
      <c r="E269" s="3" t="e">
        <f t="shared" si="61"/>
        <v>#VALUE!</v>
      </c>
      <c r="F269" s="8" t="e">
        <f t="shared" si="56"/>
        <v>#VALUE!</v>
      </c>
      <c r="G269" s="3" t="e">
        <f t="shared" si="57"/>
        <v>#VALUE!</v>
      </c>
      <c r="H269" s="3">
        <v>819</v>
      </c>
      <c r="I269" s="8" t="e">
        <f t="shared" si="58"/>
        <v>#VALUE!</v>
      </c>
      <c r="J269" s="3">
        <v>191976</v>
      </c>
      <c r="K269" s="3" t="e">
        <f t="shared" si="59"/>
        <v>#VALUE!</v>
      </c>
      <c r="L269" s="8" t="e">
        <f t="shared" si="62"/>
        <v>#VALUE!</v>
      </c>
      <c r="M269" s="8" t="e">
        <f t="shared" si="63"/>
        <v>#VALUE!</v>
      </c>
      <c r="N269" s="3" t="e">
        <f t="shared" si="64"/>
        <v>#VALUE!</v>
      </c>
      <c r="O269" s="3" t="e">
        <f t="shared" si="65"/>
        <v>#VALUE!</v>
      </c>
      <c r="P269" s="3">
        <v>833</v>
      </c>
      <c r="Q269" s="3">
        <v>215913</v>
      </c>
      <c r="R269" s="3">
        <v>3</v>
      </c>
      <c r="T269" t="e">
        <f t="shared" si="67"/>
        <v>#VALUE!</v>
      </c>
      <c r="U269" t="e">
        <f t="shared" si="66"/>
        <v>#VALUE!</v>
      </c>
    </row>
    <row r="270" spans="1:21" x14ac:dyDescent="0.35">
      <c r="A270" s="1">
        <v>269</v>
      </c>
      <c r="B270" s="8">
        <v>6</v>
      </c>
      <c r="C270" s="3" t="e">
        <f t="shared" si="60"/>
        <v>#VALUE!</v>
      </c>
      <c r="D270" s="8" t="e">
        <f t="shared" si="55"/>
        <v>#VALUE!</v>
      </c>
      <c r="E270" s="3" t="e">
        <f t="shared" si="61"/>
        <v>#VALUE!</v>
      </c>
      <c r="F270" s="8" t="e">
        <f t="shared" si="56"/>
        <v>#VALUE!</v>
      </c>
      <c r="G270" s="3" t="e">
        <f t="shared" si="57"/>
        <v>#VALUE!</v>
      </c>
      <c r="H270" s="3">
        <v>331</v>
      </c>
      <c r="I270" s="8" t="e">
        <f t="shared" si="58"/>
        <v>#VALUE!</v>
      </c>
      <c r="J270" s="3">
        <v>97877</v>
      </c>
      <c r="K270" s="3" t="e">
        <f t="shared" si="59"/>
        <v>#VALUE!</v>
      </c>
      <c r="L270" s="8" t="e">
        <f t="shared" si="62"/>
        <v>#VALUE!</v>
      </c>
      <c r="M270" s="8" t="e">
        <f t="shared" si="63"/>
        <v>#VALUE!</v>
      </c>
      <c r="N270" s="3" t="e">
        <f t="shared" si="64"/>
        <v>#VALUE!</v>
      </c>
      <c r="O270" s="3" t="e">
        <f t="shared" si="65"/>
        <v>#VALUE!</v>
      </c>
      <c r="P270" s="3">
        <v>814</v>
      </c>
      <c r="Q270" s="3">
        <v>164502</v>
      </c>
      <c r="R270" s="3">
        <v>4</v>
      </c>
      <c r="T270" t="e">
        <f t="shared" si="67"/>
        <v>#VALUE!</v>
      </c>
      <c r="U270" t="e">
        <f t="shared" si="66"/>
        <v>#VALUE!</v>
      </c>
    </row>
    <row r="271" spans="1:21" x14ac:dyDescent="0.35">
      <c r="A271" s="1">
        <v>270</v>
      </c>
      <c r="B271" s="8">
        <v>222</v>
      </c>
      <c r="C271" s="3" t="e">
        <f t="shared" si="60"/>
        <v>#VALUE!</v>
      </c>
      <c r="D271" s="8" t="e">
        <f t="shared" si="55"/>
        <v>#VALUE!</v>
      </c>
      <c r="E271" s="3" t="e">
        <f t="shared" si="61"/>
        <v>#VALUE!</v>
      </c>
      <c r="F271" s="8" t="e">
        <f t="shared" si="56"/>
        <v>#VALUE!</v>
      </c>
      <c r="G271" s="3" t="e">
        <f t="shared" si="57"/>
        <v>#VALUE!</v>
      </c>
      <c r="H271" s="3">
        <v>752</v>
      </c>
      <c r="I271" s="8" t="e">
        <f t="shared" si="58"/>
        <v>#VALUE!</v>
      </c>
      <c r="J271" s="3">
        <v>139248</v>
      </c>
      <c r="K271" s="3" t="e">
        <f t="shared" si="59"/>
        <v>#VALUE!</v>
      </c>
      <c r="L271" s="8" t="e">
        <f t="shared" si="62"/>
        <v>#VALUE!</v>
      </c>
      <c r="M271" s="8" t="e">
        <f t="shared" si="63"/>
        <v>#VALUE!</v>
      </c>
      <c r="N271" s="3" t="e">
        <f t="shared" si="64"/>
        <v>#VALUE!</v>
      </c>
      <c r="O271" s="3" t="e">
        <f t="shared" si="65"/>
        <v>#VALUE!</v>
      </c>
      <c r="P271" s="3">
        <v>854</v>
      </c>
      <c r="Q271" s="3">
        <v>184428</v>
      </c>
      <c r="R271" s="3">
        <v>5</v>
      </c>
      <c r="T271" t="e">
        <f t="shared" si="67"/>
        <v>#VALUE!</v>
      </c>
      <c r="U271" t="e">
        <f t="shared" si="66"/>
        <v>#VALUE!</v>
      </c>
    </row>
    <row r="272" spans="1:21" x14ac:dyDescent="0.35">
      <c r="A272" s="1">
        <v>271</v>
      </c>
      <c r="B272" s="8">
        <v>229</v>
      </c>
      <c r="C272" s="3" t="e">
        <f t="shared" si="60"/>
        <v>#VALUE!</v>
      </c>
      <c r="D272" s="8" t="e">
        <f t="shared" si="55"/>
        <v>#VALUE!</v>
      </c>
      <c r="E272" s="3" t="e">
        <f t="shared" si="61"/>
        <v>#VALUE!</v>
      </c>
      <c r="F272" s="8" t="e">
        <f t="shared" si="56"/>
        <v>#VALUE!</v>
      </c>
      <c r="G272" s="3" t="e">
        <f t="shared" si="57"/>
        <v>#VALUE!</v>
      </c>
      <c r="H272" s="3">
        <v>627</v>
      </c>
      <c r="I272" s="8" t="e">
        <f t="shared" si="58"/>
        <v>#VALUE!</v>
      </c>
      <c r="J272" s="3">
        <v>195194</v>
      </c>
      <c r="K272" s="3" t="e">
        <f t="shared" si="59"/>
        <v>#VALUE!</v>
      </c>
      <c r="L272" s="8" t="e">
        <f t="shared" si="62"/>
        <v>#VALUE!</v>
      </c>
      <c r="M272" s="8" t="e">
        <f t="shared" si="63"/>
        <v>#VALUE!</v>
      </c>
      <c r="N272" s="3" t="e">
        <f t="shared" si="64"/>
        <v>#VALUE!</v>
      </c>
      <c r="O272" s="3" t="e">
        <f t="shared" si="65"/>
        <v>#VALUE!</v>
      </c>
      <c r="P272" s="3">
        <v>547</v>
      </c>
      <c r="Q272" s="3">
        <v>188494</v>
      </c>
      <c r="R272" s="3">
        <v>3</v>
      </c>
      <c r="T272" t="e">
        <f t="shared" si="67"/>
        <v>#VALUE!</v>
      </c>
      <c r="U272" t="e">
        <f t="shared" si="66"/>
        <v>#VALUE!</v>
      </c>
    </row>
    <row r="273" spans="1:21" x14ac:dyDescent="0.35">
      <c r="A273" s="1">
        <v>272</v>
      </c>
      <c r="B273" s="8">
        <v>237</v>
      </c>
      <c r="C273" s="3" t="e">
        <f t="shared" si="60"/>
        <v>#VALUE!</v>
      </c>
      <c r="D273" s="8" t="e">
        <f t="shared" si="55"/>
        <v>#VALUE!</v>
      </c>
      <c r="E273" s="3" t="e">
        <f t="shared" si="61"/>
        <v>#VALUE!</v>
      </c>
      <c r="F273" s="8" t="e">
        <f t="shared" si="56"/>
        <v>#VALUE!</v>
      </c>
      <c r="G273" s="3" t="e">
        <f t="shared" si="57"/>
        <v>#VALUE!</v>
      </c>
      <c r="H273" s="3">
        <v>778</v>
      </c>
      <c r="I273" s="8" t="e">
        <f t="shared" si="58"/>
        <v>#VALUE!</v>
      </c>
      <c r="J273" s="3">
        <v>199423</v>
      </c>
      <c r="K273" s="3" t="e">
        <f t="shared" si="59"/>
        <v>#VALUE!</v>
      </c>
      <c r="L273" s="8" t="e">
        <f t="shared" si="62"/>
        <v>#VALUE!</v>
      </c>
      <c r="M273" s="8" t="e">
        <f t="shared" si="63"/>
        <v>#VALUE!</v>
      </c>
      <c r="N273" s="3" t="e">
        <f t="shared" si="64"/>
        <v>#VALUE!</v>
      </c>
      <c r="O273" s="3" t="e">
        <f t="shared" si="65"/>
        <v>#VALUE!</v>
      </c>
      <c r="P273" s="3">
        <v>559</v>
      </c>
      <c r="Q273" s="3">
        <v>165906</v>
      </c>
      <c r="R273" s="3">
        <v>3</v>
      </c>
      <c r="T273" t="e">
        <f t="shared" si="67"/>
        <v>#VALUE!</v>
      </c>
      <c r="U273" t="e">
        <f t="shared" si="66"/>
        <v>#VALUE!</v>
      </c>
    </row>
    <row r="274" spans="1:21" x14ac:dyDescent="0.35">
      <c r="A274" s="1">
        <v>273</v>
      </c>
      <c r="B274" s="8">
        <v>141</v>
      </c>
      <c r="C274" s="3" t="e">
        <f t="shared" si="60"/>
        <v>#VALUE!</v>
      </c>
      <c r="D274" s="8" t="e">
        <f t="shared" si="55"/>
        <v>#VALUE!</v>
      </c>
      <c r="E274" s="3" t="e">
        <f t="shared" si="61"/>
        <v>#VALUE!</v>
      </c>
      <c r="F274" s="8" t="e">
        <f t="shared" si="56"/>
        <v>#VALUE!</v>
      </c>
      <c r="G274" s="3" t="e">
        <f t="shared" si="57"/>
        <v>#VALUE!</v>
      </c>
      <c r="H274" s="3">
        <v>619</v>
      </c>
      <c r="I274" s="8" t="e">
        <f t="shared" si="58"/>
        <v>#VALUE!</v>
      </c>
      <c r="J274" s="3">
        <v>192869</v>
      </c>
      <c r="K274" s="3" t="e">
        <f t="shared" si="59"/>
        <v>#VALUE!</v>
      </c>
      <c r="L274" s="8" t="e">
        <f t="shared" si="62"/>
        <v>#VALUE!</v>
      </c>
      <c r="M274" s="8" t="e">
        <f t="shared" si="63"/>
        <v>#VALUE!</v>
      </c>
      <c r="N274" s="3" t="e">
        <f t="shared" si="64"/>
        <v>#VALUE!</v>
      </c>
      <c r="O274" s="3" t="e">
        <f t="shared" si="65"/>
        <v>#VALUE!</v>
      </c>
      <c r="P274" s="3">
        <v>773</v>
      </c>
      <c r="Q274" s="3">
        <v>148561</v>
      </c>
      <c r="R274" s="3">
        <v>3</v>
      </c>
      <c r="T274" t="e">
        <f t="shared" si="67"/>
        <v>#VALUE!</v>
      </c>
      <c r="U274" t="e">
        <f t="shared" si="66"/>
        <v>#VALUE!</v>
      </c>
    </row>
    <row r="275" spans="1:21" x14ac:dyDescent="0.35">
      <c r="A275" s="1">
        <v>274</v>
      </c>
      <c r="B275" s="8">
        <v>120</v>
      </c>
      <c r="C275" s="3" t="e">
        <f t="shared" si="60"/>
        <v>#VALUE!</v>
      </c>
      <c r="D275" s="8" t="e">
        <f t="shared" si="55"/>
        <v>#VALUE!</v>
      </c>
      <c r="E275" s="3" t="e">
        <f t="shared" si="61"/>
        <v>#VALUE!</v>
      </c>
      <c r="F275" s="8" t="e">
        <f t="shared" si="56"/>
        <v>#VALUE!</v>
      </c>
      <c r="G275" s="3" t="e">
        <f t="shared" si="57"/>
        <v>#VALUE!</v>
      </c>
      <c r="H275" s="3">
        <v>193</v>
      </c>
      <c r="I275" s="8" t="e">
        <f t="shared" si="58"/>
        <v>#VALUE!</v>
      </c>
      <c r="J275" s="3">
        <v>162753</v>
      </c>
      <c r="K275" s="3" t="e">
        <f t="shared" si="59"/>
        <v>#VALUE!</v>
      </c>
      <c r="L275" s="8" t="e">
        <f t="shared" si="62"/>
        <v>#VALUE!</v>
      </c>
      <c r="M275" s="8" t="e">
        <f t="shared" si="63"/>
        <v>#VALUE!</v>
      </c>
      <c r="N275" s="3" t="e">
        <f t="shared" si="64"/>
        <v>#VALUE!</v>
      </c>
      <c r="O275" s="3" t="e">
        <f t="shared" si="65"/>
        <v>#VALUE!</v>
      </c>
      <c r="P275" s="3">
        <v>547</v>
      </c>
      <c r="Q275" s="3">
        <v>134340</v>
      </c>
      <c r="R275" s="3">
        <v>5</v>
      </c>
      <c r="T275" t="e">
        <f t="shared" si="67"/>
        <v>#VALUE!</v>
      </c>
      <c r="U275" t="e">
        <f t="shared" si="66"/>
        <v>#VALUE!</v>
      </c>
    </row>
    <row r="276" spans="1:21" x14ac:dyDescent="0.35">
      <c r="A276" s="1">
        <v>275</v>
      </c>
      <c r="B276" s="8">
        <v>84</v>
      </c>
      <c r="C276" s="3" t="e">
        <f t="shared" si="60"/>
        <v>#VALUE!</v>
      </c>
      <c r="D276" s="8" t="e">
        <f t="shared" si="55"/>
        <v>#VALUE!</v>
      </c>
      <c r="E276" s="3" t="e">
        <f t="shared" si="61"/>
        <v>#VALUE!</v>
      </c>
      <c r="F276" s="8" t="e">
        <f t="shared" si="56"/>
        <v>#VALUE!</v>
      </c>
      <c r="G276" s="3" t="e">
        <f t="shared" si="57"/>
        <v>#VALUE!</v>
      </c>
      <c r="H276" s="3">
        <v>79</v>
      </c>
      <c r="I276" s="8" t="e">
        <f t="shared" si="58"/>
        <v>#VALUE!</v>
      </c>
      <c r="J276" s="3">
        <v>307508</v>
      </c>
      <c r="K276" s="3" t="e">
        <f t="shared" si="59"/>
        <v>#VALUE!</v>
      </c>
      <c r="L276" s="8" t="e">
        <f t="shared" si="62"/>
        <v>#VALUE!</v>
      </c>
      <c r="M276" s="8" t="e">
        <f t="shared" si="63"/>
        <v>#VALUE!</v>
      </c>
      <c r="N276" s="3" t="e">
        <f t="shared" si="64"/>
        <v>#VALUE!</v>
      </c>
      <c r="O276" s="3" t="e">
        <f t="shared" si="65"/>
        <v>#VALUE!</v>
      </c>
      <c r="P276" s="3">
        <v>820</v>
      </c>
      <c r="Q276" s="3">
        <v>323348</v>
      </c>
      <c r="R276" s="3">
        <v>4</v>
      </c>
      <c r="T276" t="e">
        <f t="shared" si="67"/>
        <v>#VALUE!</v>
      </c>
      <c r="U276" t="e">
        <f t="shared" si="66"/>
        <v>#VALUE!</v>
      </c>
    </row>
    <row r="277" spans="1:21" x14ac:dyDescent="0.35">
      <c r="A277" s="1">
        <v>276</v>
      </c>
      <c r="B277" s="8">
        <v>160</v>
      </c>
      <c r="C277" s="3" t="e">
        <f t="shared" si="60"/>
        <v>#VALUE!</v>
      </c>
      <c r="D277" s="8" t="e">
        <f t="shared" si="55"/>
        <v>#VALUE!</v>
      </c>
      <c r="E277" s="3" t="e">
        <f t="shared" si="61"/>
        <v>#VALUE!</v>
      </c>
      <c r="F277" s="8" t="e">
        <f t="shared" si="56"/>
        <v>#VALUE!</v>
      </c>
      <c r="G277" s="3" t="e">
        <f t="shared" si="57"/>
        <v>#VALUE!</v>
      </c>
      <c r="H277" s="3">
        <v>697</v>
      </c>
      <c r="I277" s="8" t="e">
        <f t="shared" si="58"/>
        <v>#VALUE!</v>
      </c>
      <c r="J277" s="3">
        <v>200868</v>
      </c>
      <c r="K277" s="3" t="e">
        <f t="shared" si="59"/>
        <v>#VALUE!</v>
      </c>
      <c r="L277" s="8" t="e">
        <f t="shared" si="62"/>
        <v>#VALUE!</v>
      </c>
      <c r="M277" s="8" t="e">
        <f t="shared" si="63"/>
        <v>#VALUE!</v>
      </c>
      <c r="N277" s="3" t="e">
        <f t="shared" si="64"/>
        <v>#VALUE!</v>
      </c>
      <c r="O277" s="3" t="e">
        <f t="shared" si="65"/>
        <v>#VALUE!</v>
      </c>
      <c r="P277" s="3">
        <v>756</v>
      </c>
      <c r="Q277" s="3">
        <v>82276</v>
      </c>
      <c r="R277" s="3">
        <v>4</v>
      </c>
      <c r="T277" t="e">
        <f t="shared" si="67"/>
        <v>#VALUE!</v>
      </c>
      <c r="U277" t="e">
        <f t="shared" si="66"/>
        <v>#VALUE!</v>
      </c>
    </row>
    <row r="278" spans="1:21" x14ac:dyDescent="0.35">
      <c r="A278" s="1">
        <v>277</v>
      </c>
      <c r="B278" s="8">
        <v>261</v>
      </c>
      <c r="C278" s="3" t="e">
        <f t="shared" si="60"/>
        <v>#VALUE!</v>
      </c>
      <c r="D278" s="8" t="e">
        <f t="shared" si="55"/>
        <v>#VALUE!</v>
      </c>
      <c r="E278" s="3" t="e">
        <f t="shared" si="61"/>
        <v>#VALUE!</v>
      </c>
      <c r="F278" s="8" t="e">
        <f t="shared" si="56"/>
        <v>#VALUE!</v>
      </c>
      <c r="G278" s="3" t="e">
        <f t="shared" si="57"/>
        <v>#VALUE!</v>
      </c>
      <c r="H278" s="3">
        <v>744</v>
      </c>
      <c r="I278" s="8" t="e">
        <f t="shared" si="58"/>
        <v>#VALUE!</v>
      </c>
      <c r="J278" s="3">
        <v>133865</v>
      </c>
      <c r="K278" s="3" t="e">
        <f t="shared" si="59"/>
        <v>#VALUE!</v>
      </c>
      <c r="L278" s="8" t="e">
        <f t="shared" si="62"/>
        <v>#VALUE!</v>
      </c>
      <c r="M278" s="8" t="e">
        <f t="shared" si="63"/>
        <v>#VALUE!</v>
      </c>
      <c r="N278" s="3" t="e">
        <f t="shared" si="64"/>
        <v>#VALUE!</v>
      </c>
      <c r="O278" s="3" t="e">
        <f t="shared" si="65"/>
        <v>#VALUE!</v>
      </c>
      <c r="P278" s="3">
        <v>777</v>
      </c>
      <c r="Q278" s="3">
        <v>194281</v>
      </c>
      <c r="R278" s="3">
        <v>3</v>
      </c>
      <c r="T278" t="e">
        <f t="shared" si="67"/>
        <v>#VALUE!</v>
      </c>
      <c r="U278" t="e">
        <f t="shared" si="66"/>
        <v>#VALUE!</v>
      </c>
    </row>
    <row r="279" spans="1:21" x14ac:dyDescent="0.35">
      <c r="A279" s="1">
        <v>278</v>
      </c>
      <c r="B279" s="8">
        <v>7</v>
      </c>
      <c r="C279" s="3" t="e">
        <f t="shared" si="60"/>
        <v>#VALUE!</v>
      </c>
      <c r="D279" s="8" t="e">
        <f t="shared" si="55"/>
        <v>#VALUE!</v>
      </c>
      <c r="E279" s="3" t="e">
        <f t="shared" si="61"/>
        <v>#VALUE!</v>
      </c>
      <c r="F279" s="8" t="e">
        <f t="shared" si="56"/>
        <v>#VALUE!</v>
      </c>
      <c r="G279" s="3" t="e">
        <f t="shared" si="57"/>
        <v>#VALUE!</v>
      </c>
      <c r="H279" s="3">
        <v>288</v>
      </c>
      <c r="I279" s="8" t="e">
        <f t="shared" si="58"/>
        <v>#VALUE!</v>
      </c>
      <c r="J279" s="3">
        <v>207789</v>
      </c>
      <c r="K279" s="3" t="e">
        <f t="shared" si="59"/>
        <v>#VALUE!</v>
      </c>
      <c r="L279" s="8" t="e">
        <f t="shared" si="62"/>
        <v>#VALUE!</v>
      </c>
      <c r="M279" s="8" t="e">
        <f t="shared" si="63"/>
        <v>#VALUE!</v>
      </c>
      <c r="N279" s="3" t="e">
        <f t="shared" si="64"/>
        <v>#VALUE!</v>
      </c>
      <c r="O279" s="3" t="e">
        <f t="shared" si="65"/>
        <v>#VALUE!</v>
      </c>
      <c r="P279" s="3">
        <v>715</v>
      </c>
      <c r="Q279" s="3">
        <v>148599</v>
      </c>
      <c r="R279" s="3">
        <v>3</v>
      </c>
      <c r="T279" t="e">
        <f t="shared" si="67"/>
        <v>#VALUE!</v>
      </c>
      <c r="U279" t="e">
        <f t="shared" si="66"/>
        <v>#VALUE!</v>
      </c>
    </row>
    <row r="280" spans="1:21" x14ac:dyDescent="0.35">
      <c r="A280" s="1">
        <v>279</v>
      </c>
      <c r="B280" s="8">
        <v>145</v>
      </c>
      <c r="C280" s="3" t="e">
        <f t="shared" si="60"/>
        <v>#VALUE!</v>
      </c>
      <c r="D280" s="8" t="e">
        <f t="shared" si="55"/>
        <v>#VALUE!</v>
      </c>
      <c r="E280" s="3" t="e">
        <f t="shared" si="61"/>
        <v>#VALUE!</v>
      </c>
      <c r="F280" s="8" t="e">
        <f t="shared" si="56"/>
        <v>#VALUE!</v>
      </c>
      <c r="G280" s="3" t="e">
        <f t="shared" si="57"/>
        <v>#VALUE!</v>
      </c>
      <c r="H280" s="3">
        <v>864</v>
      </c>
      <c r="I280" s="8" t="e">
        <f t="shared" si="58"/>
        <v>#VALUE!</v>
      </c>
      <c r="J280" s="3">
        <v>264802</v>
      </c>
      <c r="K280" s="3" t="e">
        <f t="shared" si="59"/>
        <v>#VALUE!</v>
      </c>
      <c r="L280" s="8" t="e">
        <f t="shared" si="62"/>
        <v>#VALUE!</v>
      </c>
      <c r="M280" s="8" t="e">
        <f t="shared" si="63"/>
        <v>#VALUE!</v>
      </c>
      <c r="N280" s="3" t="e">
        <f t="shared" si="64"/>
        <v>#VALUE!</v>
      </c>
      <c r="O280" s="3" t="e">
        <f t="shared" si="65"/>
        <v>#VALUE!</v>
      </c>
      <c r="P280" s="3">
        <v>671</v>
      </c>
      <c r="Q280" s="3">
        <v>290329</v>
      </c>
      <c r="R280" s="3">
        <v>4</v>
      </c>
      <c r="T280" t="e">
        <f t="shared" si="67"/>
        <v>#VALUE!</v>
      </c>
      <c r="U280" t="e">
        <f t="shared" si="66"/>
        <v>#VALUE!</v>
      </c>
    </row>
    <row r="281" spans="1:21" x14ac:dyDescent="0.35">
      <c r="A281" s="1">
        <v>280</v>
      </c>
      <c r="B281" s="8">
        <v>267</v>
      </c>
      <c r="C281" s="3" t="e">
        <f t="shared" si="60"/>
        <v>#VALUE!</v>
      </c>
      <c r="D281" s="8" t="e">
        <f t="shared" si="55"/>
        <v>#VALUE!</v>
      </c>
      <c r="E281" s="3" t="e">
        <f t="shared" si="61"/>
        <v>#VALUE!</v>
      </c>
      <c r="F281" s="8" t="e">
        <f t="shared" si="56"/>
        <v>#VALUE!</v>
      </c>
      <c r="G281" s="3" t="e">
        <f t="shared" si="57"/>
        <v>#VALUE!</v>
      </c>
      <c r="H281" s="3">
        <v>674</v>
      </c>
      <c r="I281" s="8" t="e">
        <f t="shared" si="58"/>
        <v>#VALUE!</v>
      </c>
      <c r="J281" s="3">
        <v>260903</v>
      </c>
      <c r="K281" s="3" t="e">
        <f t="shared" si="59"/>
        <v>#VALUE!</v>
      </c>
      <c r="L281" s="8" t="e">
        <f t="shared" si="62"/>
        <v>#VALUE!</v>
      </c>
      <c r="M281" s="8" t="e">
        <f t="shared" si="63"/>
        <v>#VALUE!</v>
      </c>
      <c r="N281" s="3" t="e">
        <f t="shared" si="64"/>
        <v>#VALUE!</v>
      </c>
      <c r="O281" s="3" t="e">
        <f t="shared" si="65"/>
        <v>#VALUE!</v>
      </c>
      <c r="P281" s="3">
        <v>789</v>
      </c>
      <c r="Q281" s="3">
        <v>166343</v>
      </c>
      <c r="R281" s="3">
        <v>5</v>
      </c>
      <c r="T281" t="e">
        <f t="shared" si="67"/>
        <v>#VALUE!</v>
      </c>
      <c r="U281" t="e">
        <f t="shared" si="66"/>
        <v>#VALUE!</v>
      </c>
    </row>
    <row r="282" spans="1:21" x14ac:dyDescent="0.35">
      <c r="D282" s="8"/>
      <c r="F282" s="8"/>
      <c r="I282" s="8"/>
      <c r="J282" s="1">
        <v>313757</v>
      </c>
      <c r="K282" s="3" t="e">
        <f t="shared" ref="K282:K322" si="68">$X$22</f>
        <v>#VALUE!</v>
      </c>
      <c r="L282" s="8" t="e">
        <f t="shared" si="62"/>
        <v>#VALUE!</v>
      </c>
      <c r="M282" s="8" t="e">
        <f t="shared" si="63"/>
        <v>#VALUE!</v>
      </c>
      <c r="N282" s="3" t="e">
        <f t="shared" si="64"/>
        <v>#VALUE!</v>
      </c>
      <c r="O282" s="3" t="e">
        <f t="shared" si="65"/>
        <v>#VALUE!</v>
      </c>
      <c r="Q282" s="1">
        <v>313757</v>
      </c>
      <c r="T282" t="e">
        <f t="shared" si="67"/>
        <v>#VALUE!</v>
      </c>
      <c r="U282" t="e">
        <f t="shared" si="66"/>
        <v>#VALUE!</v>
      </c>
    </row>
    <row r="283" spans="1:21" x14ac:dyDescent="0.35">
      <c r="D283" s="8"/>
      <c r="F283" s="8"/>
      <c r="I283" s="8"/>
      <c r="J283" s="1">
        <v>147940</v>
      </c>
      <c r="K283" s="3" t="e">
        <f t="shared" si="68"/>
        <v>#VALUE!</v>
      </c>
      <c r="L283" s="8" t="e">
        <f t="shared" si="62"/>
        <v>#VALUE!</v>
      </c>
      <c r="M283" s="8" t="e">
        <f t="shared" si="63"/>
        <v>#VALUE!</v>
      </c>
      <c r="N283" s="3" t="e">
        <f t="shared" si="64"/>
        <v>#VALUE!</v>
      </c>
      <c r="O283" s="3" t="e">
        <f t="shared" si="65"/>
        <v>#VALUE!</v>
      </c>
      <c r="Q283" s="1">
        <v>147940</v>
      </c>
      <c r="T283" t="e">
        <f t="shared" si="67"/>
        <v>#VALUE!</v>
      </c>
      <c r="U283" t="e">
        <f t="shared" si="66"/>
        <v>#VALUE!</v>
      </c>
    </row>
    <row r="284" spans="1:21" x14ac:dyDescent="0.35">
      <c r="D284" s="8"/>
      <c r="F284" s="8"/>
      <c r="I284" s="8"/>
      <c r="J284" s="1">
        <v>113716</v>
      </c>
      <c r="K284" s="3" t="e">
        <f t="shared" si="68"/>
        <v>#VALUE!</v>
      </c>
      <c r="L284" s="8" t="e">
        <f t="shared" si="62"/>
        <v>#VALUE!</v>
      </c>
      <c r="M284" s="8" t="e">
        <f t="shared" si="63"/>
        <v>#VALUE!</v>
      </c>
      <c r="N284" s="3" t="e">
        <f t="shared" si="64"/>
        <v>#VALUE!</v>
      </c>
      <c r="O284" s="3" t="e">
        <f t="shared" si="65"/>
        <v>#VALUE!</v>
      </c>
      <c r="Q284" s="1">
        <v>113716</v>
      </c>
      <c r="T284" t="e">
        <f t="shared" si="67"/>
        <v>#VALUE!</v>
      </c>
      <c r="U284" t="e">
        <f t="shared" si="66"/>
        <v>#VALUE!</v>
      </c>
    </row>
    <row r="285" spans="1:21" x14ac:dyDescent="0.35">
      <c r="D285" s="8"/>
      <c r="F285" s="8"/>
      <c r="I285" s="8"/>
      <c r="J285" s="1">
        <v>321310</v>
      </c>
      <c r="K285" s="3" t="e">
        <f t="shared" si="68"/>
        <v>#VALUE!</v>
      </c>
      <c r="L285" s="8" t="e">
        <f t="shared" si="62"/>
        <v>#VALUE!</v>
      </c>
      <c r="M285" s="8" t="e">
        <f t="shared" si="63"/>
        <v>#VALUE!</v>
      </c>
      <c r="N285" s="3" t="e">
        <f t="shared" si="64"/>
        <v>#VALUE!</v>
      </c>
      <c r="O285" s="3" t="e">
        <f t="shared" si="65"/>
        <v>#VALUE!</v>
      </c>
      <c r="Q285" s="1">
        <v>321310</v>
      </c>
      <c r="T285" t="e">
        <f t="shared" si="67"/>
        <v>#VALUE!</v>
      </c>
      <c r="U285" t="e">
        <f t="shared" si="66"/>
        <v>#VALUE!</v>
      </c>
    </row>
    <row r="286" spans="1:21" x14ac:dyDescent="0.35">
      <c r="D286" s="8"/>
      <c r="F286" s="8"/>
      <c r="I286" s="8"/>
      <c r="J286" s="1">
        <v>268768</v>
      </c>
      <c r="K286" s="3" t="e">
        <f t="shared" si="68"/>
        <v>#VALUE!</v>
      </c>
      <c r="L286" s="8" t="e">
        <f t="shared" si="62"/>
        <v>#VALUE!</v>
      </c>
      <c r="M286" s="8" t="e">
        <f t="shared" si="63"/>
        <v>#VALUE!</v>
      </c>
      <c r="N286" s="3" t="e">
        <f t="shared" si="64"/>
        <v>#VALUE!</v>
      </c>
      <c r="O286" s="3" t="e">
        <f t="shared" si="65"/>
        <v>#VALUE!</v>
      </c>
      <c r="Q286" s="1">
        <v>268768</v>
      </c>
      <c r="T286" t="e">
        <f t="shared" si="67"/>
        <v>#VALUE!</v>
      </c>
      <c r="U286" t="e">
        <f t="shared" si="66"/>
        <v>#VALUE!</v>
      </c>
    </row>
    <row r="287" spans="1:21" x14ac:dyDescent="0.35">
      <c r="D287" s="8"/>
      <c r="F287" s="8"/>
      <c r="I287" s="8"/>
      <c r="J287" s="1">
        <v>295863</v>
      </c>
      <c r="K287" s="3" t="e">
        <f t="shared" si="68"/>
        <v>#VALUE!</v>
      </c>
      <c r="L287" s="8" t="e">
        <f t="shared" si="62"/>
        <v>#VALUE!</v>
      </c>
      <c r="M287" s="8" t="e">
        <f t="shared" si="63"/>
        <v>#VALUE!</v>
      </c>
      <c r="N287" s="3" t="e">
        <f t="shared" si="64"/>
        <v>#VALUE!</v>
      </c>
      <c r="O287" s="3" t="e">
        <f t="shared" si="65"/>
        <v>#VALUE!</v>
      </c>
      <c r="Q287" s="1">
        <v>295863</v>
      </c>
      <c r="T287" t="e">
        <f t="shared" si="67"/>
        <v>#VALUE!</v>
      </c>
      <c r="U287" t="e">
        <f t="shared" si="66"/>
        <v>#VALUE!</v>
      </c>
    </row>
    <row r="288" spans="1:21" x14ac:dyDescent="0.35">
      <c r="D288" s="8"/>
      <c r="F288" s="8"/>
      <c r="I288" s="8"/>
      <c r="J288" s="1">
        <v>157569</v>
      </c>
      <c r="K288" s="3" t="e">
        <f t="shared" si="68"/>
        <v>#VALUE!</v>
      </c>
      <c r="L288" s="8" t="e">
        <f t="shared" si="62"/>
        <v>#VALUE!</v>
      </c>
      <c r="M288" s="8" t="e">
        <f t="shared" si="63"/>
        <v>#VALUE!</v>
      </c>
      <c r="N288" s="3" t="e">
        <f t="shared" si="64"/>
        <v>#VALUE!</v>
      </c>
      <c r="O288" s="3" t="e">
        <f t="shared" si="65"/>
        <v>#VALUE!</v>
      </c>
      <c r="Q288" s="1">
        <v>157569</v>
      </c>
      <c r="T288" t="e">
        <f t="shared" si="67"/>
        <v>#VALUE!</v>
      </c>
      <c r="U288" t="e">
        <f t="shared" si="66"/>
        <v>#VALUE!</v>
      </c>
    </row>
    <row r="289" spans="4:21" x14ac:dyDescent="0.35">
      <c r="D289" s="8"/>
      <c r="F289" s="8"/>
      <c r="I289" s="8"/>
      <c r="J289" s="1">
        <v>177590</v>
      </c>
      <c r="K289" s="3" t="e">
        <f t="shared" si="68"/>
        <v>#VALUE!</v>
      </c>
      <c r="L289" s="8" t="e">
        <f t="shared" si="62"/>
        <v>#VALUE!</v>
      </c>
      <c r="M289" s="8" t="e">
        <f t="shared" si="63"/>
        <v>#VALUE!</v>
      </c>
      <c r="N289" s="3" t="e">
        <f t="shared" si="64"/>
        <v>#VALUE!</v>
      </c>
      <c r="O289" s="3" t="e">
        <f t="shared" si="65"/>
        <v>#VALUE!</v>
      </c>
      <c r="Q289" s="1">
        <v>177590</v>
      </c>
      <c r="T289" t="e">
        <f t="shared" si="67"/>
        <v>#VALUE!</v>
      </c>
      <c r="U289" t="e">
        <f t="shared" si="66"/>
        <v>#VALUE!</v>
      </c>
    </row>
    <row r="290" spans="4:21" x14ac:dyDescent="0.35">
      <c r="D290" s="8"/>
      <c r="F290" s="8"/>
      <c r="I290" s="8"/>
      <c r="J290" s="1">
        <v>204296</v>
      </c>
      <c r="K290" s="3" t="e">
        <f t="shared" si="68"/>
        <v>#VALUE!</v>
      </c>
      <c r="L290" s="8" t="e">
        <f t="shared" si="62"/>
        <v>#VALUE!</v>
      </c>
      <c r="M290" s="8" t="e">
        <f t="shared" si="63"/>
        <v>#VALUE!</v>
      </c>
      <c r="N290" s="3" t="e">
        <f t="shared" si="64"/>
        <v>#VALUE!</v>
      </c>
      <c r="O290" s="3" t="e">
        <f t="shared" si="65"/>
        <v>#VALUE!</v>
      </c>
      <c r="Q290" s="1">
        <v>204296</v>
      </c>
      <c r="T290" t="e">
        <f t="shared" si="67"/>
        <v>#VALUE!</v>
      </c>
      <c r="U290" t="e">
        <f t="shared" si="66"/>
        <v>#VALUE!</v>
      </c>
    </row>
    <row r="291" spans="4:21" x14ac:dyDescent="0.35">
      <c r="D291" s="8"/>
      <c r="F291" s="8"/>
      <c r="I291" s="8"/>
      <c r="J291" s="1">
        <v>94649</v>
      </c>
      <c r="K291" s="3" t="e">
        <f t="shared" si="68"/>
        <v>#VALUE!</v>
      </c>
      <c r="L291" s="8" t="e">
        <f t="shared" si="62"/>
        <v>#VALUE!</v>
      </c>
      <c r="M291" s="8" t="e">
        <f t="shared" si="63"/>
        <v>#VALUE!</v>
      </c>
      <c r="N291" s="3" t="e">
        <f t="shared" si="64"/>
        <v>#VALUE!</v>
      </c>
      <c r="O291" s="3" t="e">
        <f t="shared" si="65"/>
        <v>#VALUE!</v>
      </c>
      <c r="Q291" s="1">
        <v>94649</v>
      </c>
      <c r="T291" t="e">
        <f t="shared" si="67"/>
        <v>#VALUE!</v>
      </c>
      <c r="U291" t="e">
        <f t="shared" si="66"/>
        <v>#VALUE!</v>
      </c>
    </row>
    <row r="292" spans="4:21" x14ac:dyDescent="0.35">
      <c r="D292" s="8"/>
      <c r="F292" s="8"/>
      <c r="I292" s="8"/>
      <c r="J292" s="1">
        <v>238836</v>
      </c>
      <c r="K292" s="3" t="e">
        <f t="shared" si="68"/>
        <v>#VALUE!</v>
      </c>
      <c r="L292" s="8" t="e">
        <f t="shared" si="62"/>
        <v>#VALUE!</v>
      </c>
      <c r="M292" s="8" t="e">
        <f t="shared" si="63"/>
        <v>#VALUE!</v>
      </c>
      <c r="N292" s="3" t="e">
        <f t="shared" si="64"/>
        <v>#VALUE!</v>
      </c>
      <c r="O292" s="3" t="e">
        <f t="shared" si="65"/>
        <v>#VALUE!</v>
      </c>
      <c r="Q292" s="1">
        <v>238836</v>
      </c>
      <c r="T292" t="e">
        <f t="shared" si="67"/>
        <v>#VALUE!</v>
      </c>
      <c r="U292" t="e">
        <f t="shared" si="66"/>
        <v>#VALUE!</v>
      </c>
    </row>
    <row r="293" spans="4:21" x14ac:dyDescent="0.35">
      <c r="D293" s="8"/>
      <c r="F293" s="8"/>
      <c r="I293" s="8"/>
      <c r="J293" s="1">
        <v>239060</v>
      </c>
      <c r="K293" s="3" t="e">
        <f t="shared" si="68"/>
        <v>#VALUE!</v>
      </c>
      <c r="L293" s="8" t="e">
        <f t="shared" si="62"/>
        <v>#VALUE!</v>
      </c>
      <c r="M293" s="8" t="e">
        <f t="shared" si="63"/>
        <v>#VALUE!</v>
      </c>
      <c r="N293" s="3" t="e">
        <f t="shared" si="64"/>
        <v>#VALUE!</v>
      </c>
      <c r="O293" s="3" t="e">
        <f t="shared" si="65"/>
        <v>#VALUE!</v>
      </c>
      <c r="Q293" s="1">
        <v>239060</v>
      </c>
      <c r="T293" t="e">
        <f t="shared" si="67"/>
        <v>#VALUE!</v>
      </c>
      <c r="U293" t="e">
        <f t="shared" si="66"/>
        <v>#VALUE!</v>
      </c>
    </row>
    <row r="294" spans="4:21" x14ac:dyDescent="0.35">
      <c r="D294" s="8"/>
      <c r="F294" s="8"/>
      <c r="I294" s="8"/>
      <c r="J294" s="1">
        <v>395300</v>
      </c>
      <c r="K294" s="3" t="e">
        <f t="shared" si="68"/>
        <v>#VALUE!</v>
      </c>
      <c r="L294" s="8" t="e">
        <f t="shared" si="62"/>
        <v>#VALUE!</v>
      </c>
      <c r="M294" s="8" t="e">
        <f t="shared" si="63"/>
        <v>#VALUE!</v>
      </c>
      <c r="N294" s="3" t="e">
        <f t="shared" si="64"/>
        <v>#VALUE!</v>
      </c>
      <c r="O294" s="3" t="e">
        <f t="shared" si="65"/>
        <v>#VALUE!</v>
      </c>
      <c r="Q294" s="1">
        <v>395300</v>
      </c>
      <c r="T294" t="e">
        <f t="shared" si="67"/>
        <v>#VALUE!</v>
      </c>
      <c r="U294" t="e">
        <f t="shared" si="66"/>
        <v>#VALUE!</v>
      </c>
    </row>
    <row r="295" spans="4:21" x14ac:dyDescent="0.35">
      <c r="D295" s="8"/>
      <c r="F295" s="8"/>
      <c r="I295" s="8"/>
      <c r="J295" s="1">
        <v>134154</v>
      </c>
      <c r="K295" s="3" t="e">
        <f t="shared" si="68"/>
        <v>#VALUE!</v>
      </c>
      <c r="L295" s="8" t="e">
        <f t="shared" si="62"/>
        <v>#VALUE!</v>
      </c>
      <c r="M295" s="8" t="e">
        <f t="shared" si="63"/>
        <v>#VALUE!</v>
      </c>
      <c r="N295" s="3" t="e">
        <f t="shared" si="64"/>
        <v>#VALUE!</v>
      </c>
      <c r="O295" s="3" t="e">
        <f t="shared" si="65"/>
        <v>#VALUE!</v>
      </c>
      <c r="Q295" s="1">
        <v>134154</v>
      </c>
      <c r="T295" t="e">
        <f t="shared" si="67"/>
        <v>#VALUE!</v>
      </c>
      <c r="U295" t="e">
        <f t="shared" si="66"/>
        <v>#VALUE!</v>
      </c>
    </row>
    <row r="296" spans="4:21" x14ac:dyDescent="0.35">
      <c r="D296" s="8"/>
      <c r="F296" s="8"/>
      <c r="I296" s="8"/>
      <c r="J296" s="1">
        <v>278117</v>
      </c>
      <c r="K296" s="3" t="e">
        <f t="shared" si="68"/>
        <v>#VALUE!</v>
      </c>
      <c r="L296" s="8" t="e">
        <f t="shared" si="62"/>
        <v>#VALUE!</v>
      </c>
      <c r="M296" s="8" t="e">
        <f t="shared" si="63"/>
        <v>#VALUE!</v>
      </c>
      <c r="N296" s="3" t="e">
        <f t="shared" si="64"/>
        <v>#VALUE!</v>
      </c>
      <c r="O296" s="3" t="e">
        <f t="shared" si="65"/>
        <v>#VALUE!</v>
      </c>
      <c r="Q296" s="1">
        <v>278117</v>
      </c>
      <c r="T296" t="e">
        <f t="shared" si="67"/>
        <v>#VALUE!</v>
      </c>
      <c r="U296" t="e">
        <f t="shared" si="66"/>
        <v>#VALUE!</v>
      </c>
    </row>
    <row r="297" spans="4:21" x14ac:dyDescent="0.35">
      <c r="D297" s="8"/>
      <c r="F297" s="8"/>
      <c r="I297" s="8"/>
      <c r="J297" s="1">
        <v>153738</v>
      </c>
      <c r="K297" s="3" t="e">
        <f t="shared" si="68"/>
        <v>#VALUE!</v>
      </c>
      <c r="L297" s="8" t="e">
        <f t="shared" si="62"/>
        <v>#VALUE!</v>
      </c>
      <c r="M297" s="8" t="e">
        <f t="shared" si="63"/>
        <v>#VALUE!</v>
      </c>
      <c r="N297" s="3" t="e">
        <f t="shared" si="64"/>
        <v>#VALUE!</v>
      </c>
      <c r="O297" s="3" t="e">
        <f t="shared" si="65"/>
        <v>#VALUE!</v>
      </c>
      <c r="Q297" s="1">
        <v>153738</v>
      </c>
      <c r="T297" t="e">
        <f t="shared" si="67"/>
        <v>#VALUE!</v>
      </c>
      <c r="U297" t="e">
        <f t="shared" si="66"/>
        <v>#VALUE!</v>
      </c>
    </row>
    <row r="298" spans="4:21" x14ac:dyDescent="0.35">
      <c r="D298" s="8"/>
      <c r="F298" s="8"/>
      <c r="I298" s="8"/>
      <c r="J298" s="1">
        <v>171370</v>
      </c>
      <c r="K298" s="3" t="e">
        <f t="shared" si="68"/>
        <v>#VALUE!</v>
      </c>
      <c r="L298" s="8" t="e">
        <f t="shared" si="62"/>
        <v>#VALUE!</v>
      </c>
      <c r="M298" s="8" t="e">
        <f t="shared" si="63"/>
        <v>#VALUE!</v>
      </c>
      <c r="N298" s="3" t="e">
        <f t="shared" si="64"/>
        <v>#VALUE!</v>
      </c>
      <c r="O298" s="3" t="e">
        <f t="shared" si="65"/>
        <v>#VALUE!</v>
      </c>
      <c r="Q298" s="1">
        <v>171370</v>
      </c>
      <c r="T298" t="e">
        <f t="shared" si="67"/>
        <v>#VALUE!</v>
      </c>
      <c r="U298" t="e">
        <f t="shared" si="66"/>
        <v>#VALUE!</v>
      </c>
    </row>
    <row r="299" spans="4:21" x14ac:dyDescent="0.35">
      <c r="D299" s="8"/>
      <c r="F299" s="8"/>
      <c r="I299" s="8"/>
      <c r="J299" s="1">
        <v>124692</v>
      </c>
      <c r="K299" s="3" t="e">
        <f t="shared" si="68"/>
        <v>#VALUE!</v>
      </c>
      <c r="L299" s="8" t="e">
        <f t="shared" si="62"/>
        <v>#VALUE!</v>
      </c>
      <c r="M299" s="8" t="e">
        <f t="shared" si="63"/>
        <v>#VALUE!</v>
      </c>
      <c r="N299" s="3" t="e">
        <f t="shared" si="64"/>
        <v>#VALUE!</v>
      </c>
      <c r="O299" s="3" t="e">
        <f t="shared" si="65"/>
        <v>#VALUE!</v>
      </c>
      <c r="Q299" s="1">
        <v>124692</v>
      </c>
      <c r="T299" t="e">
        <f t="shared" si="67"/>
        <v>#VALUE!</v>
      </c>
      <c r="U299" t="e">
        <f t="shared" si="66"/>
        <v>#VALUE!</v>
      </c>
    </row>
    <row r="300" spans="4:21" x14ac:dyDescent="0.35">
      <c r="D300" s="8"/>
      <c r="F300" s="8"/>
      <c r="I300" s="8"/>
      <c r="J300" s="1">
        <v>231513</v>
      </c>
      <c r="K300" s="3" t="e">
        <f t="shared" si="68"/>
        <v>#VALUE!</v>
      </c>
      <c r="L300" s="8" t="e">
        <f t="shared" si="62"/>
        <v>#VALUE!</v>
      </c>
      <c r="M300" s="8" t="e">
        <f t="shared" si="63"/>
        <v>#VALUE!</v>
      </c>
      <c r="N300" s="3" t="e">
        <f t="shared" si="64"/>
        <v>#VALUE!</v>
      </c>
      <c r="O300" s="3" t="e">
        <f t="shared" si="65"/>
        <v>#VALUE!</v>
      </c>
      <c r="Q300" s="1">
        <v>231513</v>
      </c>
      <c r="T300" t="e">
        <f t="shared" si="67"/>
        <v>#VALUE!</v>
      </c>
      <c r="U300" t="e">
        <f t="shared" si="66"/>
        <v>#VALUE!</v>
      </c>
    </row>
    <row r="301" spans="4:21" x14ac:dyDescent="0.35">
      <c r="D301" s="8"/>
      <c r="F301" s="8"/>
      <c r="I301" s="8"/>
      <c r="J301" s="1">
        <v>384813</v>
      </c>
      <c r="K301" s="3" t="e">
        <f t="shared" si="68"/>
        <v>#VALUE!</v>
      </c>
      <c r="L301" s="8" t="e">
        <f t="shared" si="62"/>
        <v>#VALUE!</v>
      </c>
      <c r="M301" s="8" t="e">
        <f t="shared" si="63"/>
        <v>#VALUE!</v>
      </c>
      <c r="N301" s="3" t="e">
        <f t="shared" si="64"/>
        <v>#VALUE!</v>
      </c>
      <c r="O301" s="3" t="e">
        <f t="shared" si="65"/>
        <v>#VALUE!</v>
      </c>
      <c r="Q301" s="1">
        <v>384813</v>
      </c>
      <c r="T301" t="e">
        <f t="shared" si="67"/>
        <v>#VALUE!</v>
      </c>
      <c r="U301" t="e">
        <f t="shared" si="66"/>
        <v>#VALUE!</v>
      </c>
    </row>
    <row r="302" spans="4:21" x14ac:dyDescent="0.35">
      <c r="D302" s="8"/>
      <c r="F302" s="8"/>
      <c r="I302" s="8"/>
      <c r="J302" s="1">
        <v>236154</v>
      </c>
      <c r="K302" s="3" t="e">
        <f t="shared" si="68"/>
        <v>#VALUE!</v>
      </c>
      <c r="L302" s="8" t="e">
        <f t="shared" si="62"/>
        <v>#VALUE!</v>
      </c>
      <c r="M302" s="8" t="e">
        <f t="shared" si="63"/>
        <v>#VALUE!</v>
      </c>
      <c r="N302" s="3" t="e">
        <f t="shared" si="64"/>
        <v>#VALUE!</v>
      </c>
      <c r="O302" s="3" t="e">
        <f t="shared" si="65"/>
        <v>#VALUE!</v>
      </c>
      <c r="Q302" s="1">
        <v>236154</v>
      </c>
      <c r="T302" t="e">
        <f t="shared" si="67"/>
        <v>#VALUE!</v>
      </c>
      <c r="U302" t="e">
        <f t="shared" si="66"/>
        <v>#VALUE!</v>
      </c>
    </row>
    <row r="303" spans="4:21" x14ac:dyDescent="0.35">
      <c r="D303" s="8"/>
      <c r="F303" s="8"/>
      <c r="I303" s="8"/>
      <c r="J303" s="1">
        <v>166226</v>
      </c>
      <c r="K303" s="3" t="e">
        <f t="shared" si="68"/>
        <v>#VALUE!</v>
      </c>
      <c r="L303" s="8" t="e">
        <f t="shared" si="62"/>
        <v>#VALUE!</v>
      </c>
      <c r="M303" s="8" t="e">
        <f t="shared" si="63"/>
        <v>#VALUE!</v>
      </c>
      <c r="N303" s="3" t="e">
        <f t="shared" si="64"/>
        <v>#VALUE!</v>
      </c>
      <c r="O303" s="3" t="e">
        <f t="shared" si="65"/>
        <v>#VALUE!</v>
      </c>
      <c r="Q303" s="1">
        <v>166226</v>
      </c>
      <c r="T303" t="e">
        <f t="shared" si="67"/>
        <v>#VALUE!</v>
      </c>
      <c r="U303" t="e">
        <f t="shared" si="66"/>
        <v>#VALUE!</v>
      </c>
    </row>
    <row r="304" spans="4:21" x14ac:dyDescent="0.35">
      <c r="D304" s="8"/>
      <c r="F304" s="8"/>
      <c r="I304" s="8"/>
      <c r="J304" s="1">
        <v>311682</v>
      </c>
      <c r="K304" s="3" t="e">
        <f t="shared" si="68"/>
        <v>#VALUE!</v>
      </c>
      <c r="L304" s="8" t="e">
        <f t="shared" si="62"/>
        <v>#VALUE!</v>
      </c>
      <c r="M304" s="8" t="e">
        <f t="shared" si="63"/>
        <v>#VALUE!</v>
      </c>
      <c r="N304" s="3" t="e">
        <f t="shared" si="64"/>
        <v>#VALUE!</v>
      </c>
      <c r="O304" s="3" t="e">
        <f t="shared" si="65"/>
        <v>#VALUE!</v>
      </c>
      <c r="Q304" s="1">
        <v>311682</v>
      </c>
      <c r="T304" t="e">
        <f t="shared" si="67"/>
        <v>#VALUE!</v>
      </c>
      <c r="U304" t="e">
        <f t="shared" si="66"/>
        <v>#VALUE!</v>
      </c>
    </row>
    <row r="305" spans="4:21" x14ac:dyDescent="0.35">
      <c r="D305" s="8"/>
      <c r="F305" s="8"/>
      <c r="I305" s="8"/>
      <c r="J305" s="1">
        <v>108617</v>
      </c>
      <c r="K305" s="3" t="e">
        <f t="shared" si="68"/>
        <v>#VALUE!</v>
      </c>
      <c r="L305" s="8" t="e">
        <f t="shared" si="62"/>
        <v>#VALUE!</v>
      </c>
      <c r="M305" s="8" t="e">
        <f t="shared" si="63"/>
        <v>#VALUE!</v>
      </c>
      <c r="N305" s="3" t="e">
        <f t="shared" si="64"/>
        <v>#VALUE!</v>
      </c>
      <c r="O305" s="3" t="e">
        <f t="shared" si="65"/>
        <v>#VALUE!</v>
      </c>
      <c r="Q305" s="1">
        <v>108617</v>
      </c>
      <c r="T305" t="e">
        <f t="shared" si="67"/>
        <v>#VALUE!</v>
      </c>
      <c r="U305" t="e">
        <f t="shared" si="66"/>
        <v>#VALUE!</v>
      </c>
    </row>
    <row r="306" spans="4:21" x14ac:dyDescent="0.35">
      <c r="D306" s="8"/>
      <c r="F306" s="8"/>
      <c r="I306" s="8"/>
      <c r="J306" s="1">
        <v>527530</v>
      </c>
      <c r="K306" s="3" t="e">
        <f t="shared" si="68"/>
        <v>#VALUE!</v>
      </c>
      <c r="L306" s="8" t="e">
        <f t="shared" si="62"/>
        <v>#VALUE!</v>
      </c>
      <c r="M306" s="8" t="e">
        <f t="shared" si="63"/>
        <v>#VALUE!</v>
      </c>
      <c r="N306" s="3" t="e">
        <f t="shared" si="64"/>
        <v>#VALUE!</v>
      </c>
      <c r="O306" s="3" t="e">
        <f t="shared" si="65"/>
        <v>#VALUE!</v>
      </c>
      <c r="Q306" s="1">
        <v>527530</v>
      </c>
      <c r="T306" t="e">
        <f t="shared" si="67"/>
        <v>#VALUE!</v>
      </c>
      <c r="U306" t="e">
        <f t="shared" si="66"/>
        <v>#VALUE!</v>
      </c>
    </row>
    <row r="307" spans="4:21" x14ac:dyDescent="0.35">
      <c r="D307" s="8"/>
      <c r="F307" s="8"/>
      <c r="I307" s="8"/>
      <c r="J307" s="1">
        <v>50453</v>
      </c>
      <c r="K307" s="3" t="e">
        <f t="shared" si="68"/>
        <v>#VALUE!</v>
      </c>
      <c r="L307" s="8" t="e">
        <f t="shared" si="62"/>
        <v>#VALUE!</v>
      </c>
      <c r="M307" s="8" t="e">
        <f t="shared" si="63"/>
        <v>#VALUE!</v>
      </c>
      <c r="N307" s="3" t="e">
        <f t="shared" si="64"/>
        <v>#VALUE!</v>
      </c>
      <c r="O307" s="3" t="e">
        <f t="shared" si="65"/>
        <v>#VALUE!</v>
      </c>
      <c r="Q307" s="1">
        <v>50453</v>
      </c>
      <c r="T307" t="e">
        <f t="shared" si="67"/>
        <v>#VALUE!</v>
      </c>
      <c r="U307" t="e">
        <f t="shared" si="66"/>
        <v>#VALUE!</v>
      </c>
    </row>
    <row r="308" spans="4:21" x14ac:dyDescent="0.35">
      <c r="D308" s="8"/>
      <c r="F308" s="8"/>
      <c r="I308" s="8"/>
      <c r="J308" s="1">
        <v>281407</v>
      </c>
      <c r="K308" s="3" t="e">
        <f t="shared" si="68"/>
        <v>#VALUE!</v>
      </c>
      <c r="L308" s="8" t="e">
        <f t="shared" si="62"/>
        <v>#VALUE!</v>
      </c>
      <c r="M308" s="8" t="e">
        <f t="shared" si="63"/>
        <v>#VALUE!</v>
      </c>
      <c r="N308" s="3" t="e">
        <f t="shared" si="64"/>
        <v>#VALUE!</v>
      </c>
      <c r="O308" s="3" t="e">
        <f t="shared" si="65"/>
        <v>#VALUE!</v>
      </c>
      <c r="Q308" s="1">
        <v>281407</v>
      </c>
      <c r="T308" t="e">
        <f t="shared" si="67"/>
        <v>#VALUE!</v>
      </c>
      <c r="U308" t="e">
        <f t="shared" si="66"/>
        <v>#VALUE!</v>
      </c>
    </row>
    <row r="309" spans="4:21" x14ac:dyDescent="0.35">
      <c r="D309" s="8"/>
      <c r="F309" s="8"/>
      <c r="I309" s="8"/>
      <c r="J309" s="1">
        <v>108163</v>
      </c>
      <c r="K309" s="3" t="e">
        <f t="shared" si="68"/>
        <v>#VALUE!</v>
      </c>
      <c r="L309" s="8" t="e">
        <f t="shared" si="62"/>
        <v>#VALUE!</v>
      </c>
      <c r="M309" s="8" t="e">
        <f t="shared" si="63"/>
        <v>#VALUE!</v>
      </c>
      <c r="N309" s="3" t="e">
        <f t="shared" si="64"/>
        <v>#VALUE!</v>
      </c>
      <c r="O309" s="3" t="e">
        <f t="shared" si="65"/>
        <v>#VALUE!</v>
      </c>
      <c r="Q309" s="1">
        <v>108163</v>
      </c>
      <c r="T309" t="e">
        <f t="shared" si="67"/>
        <v>#VALUE!</v>
      </c>
      <c r="U309" t="e">
        <f t="shared" si="66"/>
        <v>#VALUE!</v>
      </c>
    </row>
    <row r="310" spans="4:21" x14ac:dyDescent="0.35">
      <c r="D310" s="8"/>
      <c r="F310" s="8"/>
      <c r="I310" s="8"/>
      <c r="J310" s="1">
        <v>455881</v>
      </c>
      <c r="K310" s="3" t="e">
        <f t="shared" si="68"/>
        <v>#VALUE!</v>
      </c>
      <c r="L310" s="8" t="e">
        <f t="shared" si="62"/>
        <v>#VALUE!</v>
      </c>
      <c r="M310" s="8" t="e">
        <f t="shared" si="63"/>
        <v>#VALUE!</v>
      </c>
      <c r="N310" s="3" t="e">
        <f t="shared" si="64"/>
        <v>#VALUE!</v>
      </c>
      <c r="O310" s="3" t="e">
        <f t="shared" si="65"/>
        <v>#VALUE!</v>
      </c>
      <c r="Q310" s="1">
        <v>455881</v>
      </c>
      <c r="T310" t="e">
        <f t="shared" si="67"/>
        <v>#VALUE!</v>
      </c>
      <c r="U310" t="e">
        <f t="shared" si="66"/>
        <v>#VALUE!</v>
      </c>
    </row>
    <row r="311" spans="4:21" x14ac:dyDescent="0.35">
      <c r="D311" s="8"/>
      <c r="F311" s="8"/>
      <c r="I311" s="8"/>
      <c r="J311" s="1">
        <v>252749</v>
      </c>
      <c r="K311" s="3" t="e">
        <f t="shared" si="68"/>
        <v>#VALUE!</v>
      </c>
      <c r="L311" s="8" t="e">
        <f t="shared" si="62"/>
        <v>#VALUE!</v>
      </c>
      <c r="M311" s="8" t="e">
        <f t="shared" si="63"/>
        <v>#VALUE!</v>
      </c>
      <c r="N311" s="3" t="e">
        <f t="shared" si="64"/>
        <v>#VALUE!</v>
      </c>
      <c r="O311" s="3" t="e">
        <f t="shared" si="65"/>
        <v>#VALUE!</v>
      </c>
      <c r="Q311" s="1">
        <v>252749</v>
      </c>
      <c r="T311" t="e">
        <f t="shared" si="67"/>
        <v>#VALUE!</v>
      </c>
      <c r="U311" t="e">
        <f t="shared" si="66"/>
        <v>#VALUE!</v>
      </c>
    </row>
    <row r="312" spans="4:21" x14ac:dyDescent="0.35">
      <c r="D312" s="8"/>
      <c r="F312" s="8"/>
      <c r="I312" s="8"/>
      <c r="J312" s="1">
        <v>188882</v>
      </c>
      <c r="K312" s="3" t="e">
        <f t="shared" si="68"/>
        <v>#VALUE!</v>
      </c>
      <c r="L312" s="8" t="e">
        <f t="shared" si="62"/>
        <v>#VALUE!</v>
      </c>
      <c r="M312" s="8" t="e">
        <f t="shared" si="63"/>
        <v>#VALUE!</v>
      </c>
      <c r="N312" s="3" t="e">
        <f t="shared" si="64"/>
        <v>#VALUE!</v>
      </c>
      <c r="O312" s="3" t="e">
        <f t="shared" si="65"/>
        <v>#VALUE!</v>
      </c>
      <c r="Q312" s="1">
        <v>188882</v>
      </c>
      <c r="T312" t="e">
        <f t="shared" si="67"/>
        <v>#VALUE!</v>
      </c>
      <c r="U312" t="e">
        <f t="shared" si="66"/>
        <v>#VALUE!</v>
      </c>
    </row>
    <row r="313" spans="4:21" x14ac:dyDescent="0.35">
      <c r="D313" s="8"/>
      <c r="F313" s="8"/>
      <c r="I313" s="8"/>
      <c r="J313" s="1">
        <v>410457</v>
      </c>
      <c r="K313" s="3" t="e">
        <f t="shared" si="68"/>
        <v>#VALUE!</v>
      </c>
      <c r="L313" s="8" t="e">
        <f t="shared" si="62"/>
        <v>#VALUE!</v>
      </c>
      <c r="M313" s="8" t="e">
        <f t="shared" si="63"/>
        <v>#VALUE!</v>
      </c>
      <c r="N313" s="3" t="e">
        <f t="shared" si="64"/>
        <v>#VALUE!</v>
      </c>
      <c r="O313" s="3" t="e">
        <f t="shared" si="65"/>
        <v>#VALUE!</v>
      </c>
      <c r="Q313" s="1">
        <v>410457</v>
      </c>
      <c r="T313" t="e">
        <f t="shared" si="67"/>
        <v>#VALUE!</v>
      </c>
      <c r="U313" t="e">
        <f t="shared" si="66"/>
        <v>#VALUE!</v>
      </c>
    </row>
    <row r="314" spans="4:21" x14ac:dyDescent="0.35">
      <c r="D314" s="8"/>
      <c r="F314" s="8"/>
      <c r="I314" s="8"/>
      <c r="J314" s="1">
        <v>249061</v>
      </c>
      <c r="K314" s="3" t="e">
        <f t="shared" si="68"/>
        <v>#VALUE!</v>
      </c>
      <c r="L314" s="8" t="e">
        <f t="shared" si="62"/>
        <v>#VALUE!</v>
      </c>
      <c r="M314" s="8" t="e">
        <f t="shared" si="63"/>
        <v>#VALUE!</v>
      </c>
      <c r="N314" s="3" t="e">
        <f t="shared" si="64"/>
        <v>#VALUE!</v>
      </c>
      <c r="O314" s="3" t="e">
        <f t="shared" si="65"/>
        <v>#VALUE!</v>
      </c>
      <c r="Q314" s="1">
        <v>249061</v>
      </c>
      <c r="T314" t="e">
        <f t="shared" si="67"/>
        <v>#VALUE!</v>
      </c>
      <c r="U314" t="e">
        <f t="shared" si="66"/>
        <v>#VALUE!</v>
      </c>
    </row>
    <row r="315" spans="4:21" x14ac:dyDescent="0.35">
      <c r="D315" s="8"/>
      <c r="F315" s="8"/>
      <c r="I315" s="8"/>
      <c r="J315" s="1">
        <v>218745</v>
      </c>
      <c r="K315" s="3" t="e">
        <f t="shared" si="68"/>
        <v>#VALUE!</v>
      </c>
      <c r="L315" s="8" t="e">
        <f t="shared" si="62"/>
        <v>#VALUE!</v>
      </c>
      <c r="M315" s="8" t="e">
        <f t="shared" si="63"/>
        <v>#VALUE!</v>
      </c>
      <c r="N315" s="3" t="e">
        <f t="shared" si="64"/>
        <v>#VALUE!</v>
      </c>
      <c r="O315" s="3" t="e">
        <f t="shared" si="65"/>
        <v>#VALUE!</v>
      </c>
      <c r="Q315" s="1">
        <v>218745</v>
      </c>
      <c r="T315" t="e">
        <f t="shared" si="67"/>
        <v>#VALUE!</v>
      </c>
      <c r="U315" t="e">
        <f t="shared" si="66"/>
        <v>#VALUE!</v>
      </c>
    </row>
    <row r="316" spans="4:21" x14ac:dyDescent="0.35">
      <c r="D316" s="8"/>
      <c r="F316" s="8"/>
      <c r="I316" s="8"/>
      <c r="J316" s="1">
        <v>293949</v>
      </c>
      <c r="K316" s="3" t="e">
        <f t="shared" si="68"/>
        <v>#VALUE!</v>
      </c>
      <c r="L316" s="8" t="e">
        <f t="shared" si="62"/>
        <v>#VALUE!</v>
      </c>
      <c r="M316" s="8" t="e">
        <f t="shared" si="63"/>
        <v>#VALUE!</v>
      </c>
      <c r="N316" s="3" t="e">
        <f t="shared" si="64"/>
        <v>#VALUE!</v>
      </c>
      <c r="O316" s="3" t="e">
        <f t="shared" si="65"/>
        <v>#VALUE!</v>
      </c>
      <c r="Q316" s="1">
        <v>293949</v>
      </c>
      <c r="T316" t="e">
        <f t="shared" si="67"/>
        <v>#VALUE!</v>
      </c>
      <c r="U316" t="e">
        <f t="shared" si="66"/>
        <v>#VALUE!</v>
      </c>
    </row>
    <row r="317" spans="4:21" x14ac:dyDescent="0.35">
      <c r="D317" s="8"/>
      <c r="F317" s="8"/>
      <c r="I317" s="8"/>
      <c r="J317" s="1">
        <v>175117</v>
      </c>
      <c r="K317" s="3" t="e">
        <f t="shared" si="68"/>
        <v>#VALUE!</v>
      </c>
      <c r="L317" s="8" t="e">
        <f t="shared" si="62"/>
        <v>#VALUE!</v>
      </c>
      <c r="M317" s="8" t="e">
        <f t="shared" si="63"/>
        <v>#VALUE!</v>
      </c>
      <c r="N317" s="3" t="e">
        <f t="shared" si="64"/>
        <v>#VALUE!</v>
      </c>
      <c r="O317" s="3" t="e">
        <f t="shared" si="65"/>
        <v>#VALUE!</v>
      </c>
      <c r="Q317" s="1">
        <v>175117</v>
      </c>
      <c r="T317" t="e">
        <f t="shared" si="67"/>
        <v>#VALUE!</v>
      </c>
      <c r="U317" t="e">
        <f t="shared" si="66"/>
        <v>#VALUE!</v>
      </c>
    </row>
    <row r="318" spans="4:21" x14ac:dyDescent="0.35">
      <c r="D318" s="8"/>
      <c r="F318" s="8"/>
      <c r="I318" s="8"/>
      <c r="J318" s="1">
        <v>345571</v>
      </c>
      <c r="K318" s="3" t="e">
        <f t="shared" si="68"/>
        <v>#VALUE!</v>
      </c>
      <c r="L318" s="8" t="e">
        <f t="shared" si="62"/>
        <v>#VALUE!</v>
      </c>
      <c r="M318" s="8" t="e">
        <f t="shared" si="63"/>
        <v>#VALUE!</v>
      </c>
      <c r="N318" s="3" t="e">
        <f t="shared" si="64"/>
        <v>#VALUE!</v>
      </c>
      <c r="O318" s="3" t="e">
        <f t="shared" si="65"/>
        <v>#VALUE!</v>
      </c>
      <c r="Q318" s="1">
        <v>345571</v>
      </c>
      <c r="T318" t="e">
        <f t="shared" si="67"/>
        <v>#VALUE!</v>
      </c>
      <c r="U318" t="e">
        <f t="shared" si="66"/>
        <v>#VALUE!</v>
      </c>
    </row>
    <row r="319" spans="4:21" x14ac:dyDescent="0.35">
      <c r="D319" s="8"/>
      <c r="F319" s="8"/>
      <c r="I319" s="8"/>
      <c r="J319" s="1">
        <v>327728</v>
      </c>
      <c r="K319" s="3" t="e">
        <f t="shared" si="68"/>
        <v>#VALUE!</v>
      </c>
      <c r="L319" s="8" t="e">
        <f t="shared" si="62"/>
        <v>#VALUE!</v>
      </c>
      <c r="M319" s="8" t="e">
        <f t="shared" si="63"/>
        <v>#VALUE!</v>
      </c>
      <c r="N319" s="3" t="e">
        <f t="shared" si="64"/>
        <v>#VALUE!</v>
      </c>
      <c r="O319" s="3" t="e">
        <f t="shared" si="65"/>
        <v>#VALUE!</v>
      </c>
      <c r="Q319" s="1">
        <v>327728</v>
      </c>
      <c r="T319" t="e">
        <f t="shared" si="67"/>
        <v>#VALUE!</v>
      </c>
      <c r="U319" t="e">
        <f t="shared" si="66"/>
        <v>#VALUE!</v>
      </c>
    </row>
    <row r="320" spans="4:21" x14ac:dyDescent="0.35">
      <c r="D320" s="8"/>
      <c r="F320" s="8"/>
      <c r="I320" s="8"/>
      <c r="J320" s="1">
        <v>137136</v>
      </c>
      <c r="K320" s="3" t="e">
        <f t="shared" si="68"/>
        <v>#VALUE!</v>
      </c>
      <c r="L320" s="8" t="e">
        <f t="shared" si="62"/>
        <v>#VALUE!</v>
      </c>
      <c r="M320" s="8" t="e">
        <f t="shared" si="63"/>
        <v>#VALUE!</v>
      </c>
      <c r="N320" s="3" t="e">
        <f t="shared" si="64"/>
        <v>#VALUE!</v>
      </c>
      <c r="O320" s="3" t="e">
        <f t="shared" si="65"/>
        <v>#VALUE!</v>
      </c>
      <c r="Q320" s="1">
        <v>137136</v>
      </c>
      <c r="T320" t="e">
        <f t="shared" si="67"/>
        <v>#VALUE!</v>
      </c>
      <c r="U320" t="e">
        <f t="shared" si="66"/>
        <v>#VALUE!</v>
      </c>
    </row>
    <row r="321" spans="4:21" x14ac:dyDescent="0.35">
      <c r="D321" s="8"/>
      <c r="F321" s="8"/>
      <c r="I321" s="8"/>
      <c r="J321" s="1">
        <v>215846</v>
      </c>
      <c r="K321" s="3" t="e">
        <f t="shared" si="68"/>
        <v>#VALUE!</v>
      </c>
      <c r="L321" s="8" t="e">
        <f t="shared" si="62"/>
        <v>#VALUE!</v>
      </c>
      <c r="M321" s="8" t="e">
        <f t="shared" si="63"/>
        <v>#VALUE!</v>
      </c>
      <c r="N321" s="3" t="e">
        <f t="shared" si="64"/>
        <v>#VALUE!</v>
      </c>
      <c r="O321" s="3" t="e">
        <f t="shared" si="65"/>
        <v>#VALUE!</v>
      </c>
      <c r="Q321" s="1">
        <v>215846</v>
      </c>
      <c r="T321" t="e">
        <f t="shared" si="67"/>
        <v>#VALUE!</v>
      </c>
      <c r="U321" t="e">
        <f t="shared" si="66"/>
        <v>#VALUE!</v>
      </c>
    </row>
    <row r="322" spans="4:21" x14ac:dyDescent="0.35">
      <c r="D322" s="8"/>
      <c r="F322" s="8"/>
      <c r="I322" s="8"/>
      <c r="J322" s="1">
        <v>166921</v>
      </c>
      <c r="K322" s="3" t="e">
        <f t="shared" si="68"/>
        <v>#VALUE!</v>
      </c>
      <c r="L322" s="8" t="e">
        <f t="shared" si="62"/>
        <v>#VALUE!</v>
      </c>
      <c r="M322" s="8" t="e">
        <f t="shared" si="63"/>
        <v>#VALUE!</v>
      </c>
      <c r="N322" s="3" t="e">
        <f t="shared" si="64"/>
        <v>#VALUE!</v>
      </c>
      <c r="O322" s="3" t="e">
        <f t="shared" si="65"/>
        <v>#VALUE!</v>
      </c>
      <c r="Q322" s="1">
        <v>166921</v>
      </c>
      <c r="T322" t="e">
        <f t="shared" si="67"/>
        <v>#VALUE!</v>
      </c>
      <c r="U322" t="e">
        <f t="shared" si="66"/>
        <v>#VALUE!</v>
      </c>
    </row>
    <row r="323" spans="4:21" x14ac:dyDescent="0.35">
      <c r="D323" s="8"/>
      <c r="F323" s="8"/>
      <c r="I323" s="8"/>
      <c r="J323" s="1">
        <v>182066</v>
      </c>
      <c r="K323" s="3" t="e">
        <f t="shared" ref="K323:K386" si="69">$X$22</f>
        <v>#VALUE!</v>
      </c>
      <c r="L323" s="8" t="e">
        <f t="shared" ref="L323:L386" si="70">VLOOKUP(O323,$Z$2:$AA$5,2,FALSE)</f>
        <v>#VALUE!</v>
      </c>
      <c r="M323" s="8" t="e">
        <f t="shared" ref="M323:M386" si="71">VLOOKUP(N323,$Z$8:$AA$10,2,FALSE)</f>
        <v>#VALUE!</v>
      </c>
      <c r="N323" s="3" t="e">
        <f t="shared" ref="N323:N386" si="72">VALUE(MID(U323,(5-MOD(A323,3)),1))</f>
        <v>#VALUE!</v>
      </c>
      <c r="O323" s="3" t="e">
        <f t="shared" ref="O323:O386" si="73">N324+N325</f>
        <v>#VALUE!</v>
      </c>
      <c r="Q323" s="1">
        <v>182066</v>
      </c>
      <c r="T323" t="e">
        <f t="shared" si="67"/>
        <v>#VALUE!</v>
      </c>
      <c r="U323" t="e">
        <f t="shared" ref="U323:U386" si="74">DEC2BIN(T323)</f>
        <v>#VALUE!</v>
      </c>
    </row>
    <row r="324" spans="4:21" x14ac:dyDescent="0.35">
      <c r="D324" s="8"/>
      <c r="F324" s="8"/>
      <c r="I324" s="8"/>
      <c r="J324" s="1">
        <v>254541</v>
      </c>
      <c r="K324" s="3" t="e">
        <f t="shared" si="69"/>
        <v>#VALUE!</v>
      </c>
      <c r="L324" s="8" t="e">
        <f t="shared" si="70"/>
        <v>#VALUE!</v>
      </c>
      <c r="M324" s="8" t="e">
        <f t="shared" si="71"/>
        <v>#VALUE!</v>
      </c>
      <c r="N324" s="3" t="e">
        <f t="shared" si="72"/>
        <v>#VALUE!</v>
      </c>
      <c r="O324" s="3" t="e">
        <f t="shared" si="73"/>
        <v>#VALUE!</v>
      </c>
      <c r="Q324" s="1">
        <v>254541</v>
      </c>
      <c r="T324" t="e">
        <f t="shared" ref="T324:T387" si="75">T323+1</f>
        <v>#VALUE!</v>
      </c>
      <c r="U324" t="e">
        <f t="shared" si="74"/>
        <v>#VALUE!</v>
      </c>
    </row>
    <row r="325" spans="4:21" x14ac:dyDescent="0.35">
      <c r="D325" s="8"/>
      <c r="F325" s="8"/>
      <c r="I325" s="8"/>
      <c r="J325" s="1">
        <v>141965</v>
      </c>
      <c r="K325" s="3" t="e">
        <f t="shared" si="69"/>
        <v>#VALUE!</v>
      </c>
      <c r="L325" s="8" t="e">
        <f t="shared" si="70"/>
        <v>#VALUE!</v>
      </c>
      <c r="M325" s="8" t="e">
        <f t="shared" si="71"/>
        <v>#VALUE!</v>
      </c>
      <c r="N325" s="3" t="e">
        <f t="shared" si="72"/>
        <v>#VALUE!</v>
      </c>
      <c r="O325" s="3" t="e">
        <f t="shared" si="73"/>
        <v>#VALUE!</v>
      </c>
      <c r="Q325" s="1">
        <v>141965</v>
      </c>
      <c r="T325" t="e">
        <f t="shared" si="75"/>
        <v>#VALUE!</v>
      </c>
      <c r="U325" t="e">
        <f t="shared" si="74"/>
        <v>#VALUE!</v>
      </c>
    </row>
    <row r="326" spans="4:21" x14ac:dyDescent="0.35">
      <c r="D326" s="8"/>
      <c r="F326" s="8"/>
      <c r="I326" s="8"/>
      <c r="J326" s="1">
        <v>217056</v>
      </c>
      <c r="K326" s="3" t="e">
        <f t="shared" si="69"/>
        <v>#VALUE!</v>
      </c>
      <c r="L326" s="8" t="e">
        <f t="shared" si="70"/>
        <v>#VALUE!</v>
      </c>
      <c r="M326" s="8" t="e">
        <f t="shared" si="71"/>
        <v>#VALUE!</v>
      </c>
      <c r="N326" s="3" t="e">
        <f t="shared" si="72"/>
        <v>#VALUE!</v>
      </c>
      <c r="O326" s="3" t="e">
        <f t="shared" si="73"/>
        <v>#VALUE!</v>
      </c>
      <c r="Q326" s="1">
        <v>217056</v>
      </c>
      <c r="T326" t="e">
        <f t="shared" si="75"/>
        <v>#VALUE!</v>
      </c>
      <c r="U326" t="e">
        <f t="shared" si="74"/>
        <v>#VALUE!</v>
      </c>
    </row>
    <row r="327" spans="4:21" x14ac:dyDescent="0.35">
      <c r="D327" s="8"/>
      <c r="F327" s="8"/>
      <c r="I327" s="8"/>
      <c r="J327" s="1">
        <v>151465</v>
      </c>
      <c r="K327" s="3" t="e">
        <f t="shared" si="69"/>
        <v>#VALUE!</v>
      </c>
      <c r="L327" s="8" t="e">
        <f t="shared" si="70"/>
        <v>#VALUE!</v>
      </c>
      <c r="M327" s="8" t="e">
        <f t="shared" si="71"/>
        <v>#VALUE!</v>
      </c>
      <c r="N327" s="3" t="e">
        <f t="shared" si="72"/>
        <v>#VALUE!</v>
      </c>
      <c r="O327" s="3" t="e">
        <f t="shared" si="73"/>
        <v>#VALUE!</v>
      </c>
      <c r="Q327" s="1">
        <v>151465</v>
      </c>
      <c r="T327" t="e">
        <f t="shared" si="75"/>
        <v>#VALUE!</v>
      </c>
      <c r="U327" t="e">
        <f t="shared" si="74"/>
        <v>#VALUE!</v>
      </c>
    </row>
    <row r="328" spans="4:21" x14ac:dyDescent="0.35">
      <c r="D328" s="8"/>
      <c r="F328" s="8"/>
      <c r="I328" s="8"/>
      <c r="J328" s="1">
        <v>125405</v>
      </c>
      <c r="K328" s="3" t="e">
        <f t="shared" si="69"/>
        <v>#VALUE!</v>
      </c>
      <c r="L328" s="8" t="e">
        <f t="shared" si="70"/>
        <v>#VALUE!</v>
      </c>
      <c r="M328" s="8" t="e">
        <f t="shared" si="71"/>
        <v>#VALUE!</v>
      </c>
      <c r="N328" s="3" t="e">
        <f t="shared" si="72"/>
        <v>#VALUE!</v>
      </c>
      <c r="O328" s="3" t="e">
        <f t="shared" si="73"/>
        <v>#VALUE!</v>
      </c>
      <c r="Q328" s="1">
        <v>125405</v>
      </c>
      <c r="T328" t="e">
        <f t="shared" si="75"/>
        <v>#VALUE!</v>
      </c>
      <c r="U328" t="e">
        <f t="shared" si="74"/>
        <v>#VALUE!</v>
      </c>
    </row>
    <row r="329" spans="4:21" x14ac:dyDescent="0.35">
      <c r="D329" s="8"/>
      <c r="F329" s="8"/>
      <c r="I329" s="8"/>
      <c r="J329" s="1">
        <v>225807</v>
      </c>
      <c r="K329" s="3" t="e">
        <f t="shared" si="69"/>
        <v>#VALUE!</v>
      </c>
      <c r="L329" s="8" t="e">
        <f t="shared" si="70"/>
        <v>#VALUE!</v>
      </c>
      <c r="M329" s="8" t="e">
        <f t="shared" si="71"/>
        <v>#VALUE!</v>
      </c>
      <c r="N329" s="3" t="e">
        <f t="shared" si="72"/>
        <v>#VALUE!</v>
      </c>
      <c r="O329" s="3" t="e">
        <f t="shared" si="73"/>
        <v>#VALUE!</v>
      </c>
      <c r="Q329" s="1">
        <v>225807</v>
      </c>
      <c r="T329" t="e">
        <f t="shared" si="75"/>
        <v>#VALUE!</v>
      </c>
      <c r="U329" t="e">
        <f t="shared" si="74"/>
        <v>#VALUE!</v>
      </c>
    </row>
    <row r="330" spans="4:21" x14ac:dyDescent="0.35">
      <c r="D330" s="8"/>
      <c r="F330" s="8"/>
      <c r="I330" s="8"/>
      <c r="J330" s="1">
        <v>189433</v>
      </c>
      <c r="K330" s="3" t="e">
        <f t="shared" si="69"/>
        <v>#VALUE!</v>
      </c>
      <c r="L330" s="8" t="e">
        <f t="shared" si="70"/>
        <v>#VALUE!</v>
      </c>
      <c r="M330" s="8" t="e">
        <f t="shared" si="71"/>
        <v>#VALUE!</v>
      </c>
      <c r="N330" s="3" t="e">
        <f t="shared" si="72"/>
        <v>#VALUE!</v>
      </c>
      <c r="O330" s="3" t="e">
        <f t="shared" si="73"/>
        <v>#VALUE!</v>
      </c>
      <c r="Q330" s="1">
        <v>189433</v>
      </c>
      <c r="T330" t="e">
        <f t="shared" si="75"/>
        <v>#VALUE!</v>
      </c>
      <c r="U330" t="e">
        <f t="shared" si="74"/>
        <v>#VALUE!</v>
      </c>
    </row>
    <row r="331" spans="4:21" x14ac:dyDescent="0.35">
      <c r="D331" s="8"/>
      <c r="F331" s="8"/>
      <c r="I331" s="8"/>
      <c r="J331" s="1">
        <v>177021</v>
      </c>
      <c r="K331" s="3" t="e">
        <f t="shared" si="69"/>
        <v>#VALUE!</v>
      </c>
      <c r="L331" s="8" t="e">
        <f t="shared" si="70"/>
        <v>#VALUE!</v>
      </c>
      <c r="M331" s="8" t="e">
        <f t="shared" si="71"/>
        <v>#VALUE!</v>
      </c>
      <c r="N331" s="3" t="e">
        <f t="shared" si="72"/>
        <v>#VALUE!</v>
      </c>
      <c r="O331" s="3" t="e">
        <f t="shared" si="73"/>
        <v>#VALUE!</v>
      </c>
      <c r="Q331" s="1">
        <v>177021</v>
      </c>
      <c r="T331" t="e">
        <f t="shared" si="75"/>
        <v>#VALUE!</v>
      </c>
      <c r="U331" t="e">
        <f t="shared" si="74"/>
        <v>#VALUE!</v>
      </c>
    </row>
    <row r="332" spans="4:21" x14ac:dyDescent="0.35">
      <c r="D332" s="8"/>
      <c r="F332" s="8"/>
      <c r="I332" s="8"/>
      <c r="J332" s="1">
        <v>193845</v>
      </c>
      <c r="K332" s="3" t="e">
        <f t="shared" si="69"/>
        <v>#VALUE!</v>
      </c>
      <c r="L332" s="8" t="e">
        <f t="shared" si="70"/>
        <v>#VALUE!</v>
      </c>
      <c r="M332" s="8" t="e">
        <f t="shared" si="71"/>
        <v>#VALUE!</v>
      </c>
      <c r="N332" s="3" t="e">
        <f t="shared" si="72"/>
        <v>#VALUE!</v>
      </c>
      <c r="O332" s="3" t="e">
        <f t="shared" si="73"/>
        <v>#VALUE!</v>
      </c>
      <c r="Q332" s="1">
        <v>193845</v>
      </c>
      <c r="T332" t="e">
        <f t="shared" si="75"/>
        <v>#VALUE!</v>
      </c>
      <c r="U332" t="e">
        <f t="shared" si="74"/>
        <v>#VALUE!</v>
      </c>
    </row>
    <row r="333" spans="4:21" x14ac:dyDescent="0.35">
      <c r="D333" s="8"/>
      <c r="F333" s="8"/>
      <c r="I333" s="8"/>
      <c r="J333" s="1">
        <v>152171</v>
      </c>
      <c r="K333" s="3" t="e">
        <f t="shared" si="69"/>
        <v>#VALUE!</v>
      </c>
      <c r="L333" s="8" t="e">
        <f t="shared" si="70"/>
        <v>#VALUE!</v>
      </c>
      <c r="M333" s="8" t="e">
        <f t="shared" si="71"/>
        <v>#VALUE!</v>
      </c>
      <c r="N333" s="3" t="e">
        <f t="shared" si="72"/>
        <v>#VALUE!</v>
      </c>
      <c r="O333" s="3" t="e">
        <f t="shared" si="73"/>
        <v>#VALUE!</v>
      </c>
      <c r="Q333" s="1">
        <v>152171</v>
      </c>
      <c r="T333" t="e">
        <f t="shared" si="75"/>
        <v>#VALUE!</v>
      </c>
      <c r="U333" t="e">
        <f t="shared" si="74"/>
        <v>#VALUE!</v>
      </c>
    </row>
    <row r="334" spans="4:21" x14ac:dyDescent="0.35">
      <c r="D334" s="8"/>
      <c r="F334" s="8"/>
      <c r="I334" s="8"/>
      <c r="J334" s="1">
        <v>256894</v>
      </c>
      <c r="K334" s="3" t="e">
        <f t="shared" si="69"/>
        <v>#VALUE!</v>
      </c>
      <c r="L334" s="8" t="e">
        <f t="shared" si="70"/>
        <v>#VALUE!</v>
      </c>
      <c r="M334" s="8" t="e">
        <f t="shared" si="71"/>
        <v>#VALUE!</v>
      </c>
      <c r="N334" s="3" t="e">
        <f t="shared" si="72"/>
        <v>#VALUE!</v>
      </c>
      <c r="O334" s="3" t="e">
        <f t="shared" si="73"/>
        <v>#VALUE!</v>
      </c>
      <c r="Q334" s="1">
        <v>256894</v>
      </c>
      <c r="T334" t="e">
        <f t="shared" si="75"/>
        <v>#VALUE!</v>
      </c>
      <c r="U334" t="e">
        <f t="shared" si="74"/>
        <v>#VALUE!</v>
      </c>
    </row>
    <row r="335" spans="4:21" x14ac:dyDescent="0.35">
      <c r="D335" s="8"/>
      <c r="F335" s="8"/>
      <c r="I335" s="8"/>
      <c r="J335" s="1">
        <v>170198</v>
      </c>
      <c r="K335" s="3" t="e">
        <f t="shared" si="69"/>
        <v>#VALUE!</v>
      </c>
      <c r="L335" s="8" t="e">
        <f t="shared" si="70"/>
        <v>#VALUE!</v>
      </c>
      <c r="M335" s="8" t="e">
        <f t="shared" si="71"/>
        <v>#VALUE!</v>
      </c>
      <c r="N335" s="3" t="e">
        <f t="shared" si="72"/>
        <v>#VALUE!</v>
      </c>
      <c r="O335" s="3" t="e">
        <f t="shared" si="73"/>
        <v>#VALUE!</v>
      </c>
      <c r="Q335" s="1">
        <v>170198</v>
      </c>
      <c r="T335" t="e">
        <f t="shared" si="75"/>
        <v>#VALUE!</v>
      </c>
      <c r="U335" t="e">
        <f t="shared" si="74"/>
        <v>#VALUE!</v>
      </c>
    </row>
    <row r="336" spans="4:21" x14ac:dyDescent="0.35">
      <c r="D336" s="8"/>
      <c r="F336" s="8"/>
      <c r="I336" s="8"/>
      <c r="J336" s="1">
        <v>231688</v>
      </c>
      <c r="K336" s="3" t="e">
        <f t="shared" si="69"/>
        <v>#VALUE!</v>
      </c>
      <c r="L336" s="8" t="e">
        <f t="shared" si="70"/>
        <v>#VALUE!</v>
      </c>
      <c r="M336" s="8" t="e">
        <f t="shared" si="71"/>
        <v>#VALUE!</v>
      </c>
      <c r="N336" s="3" t="e">
        <f t="shared" si="72"/>
        <v>#VALUE!</v>
      </c>
      <c r="O336" s="3" t="e">
        <f t="shared" si="73"/>
        <v>#VALUE!</v>
      </c>
      <c r="Q336" s="1">
        <v>231688</v>
      </c>
      <c r="T336" t="e">
        <f t="shared" si="75"/>
        <v>#VALUE!</v>
      </c>
      <c r="U336" t="e">
        <f t="shared" si="74"/>
        <v>#VALUE!</v>
      </c>
    </row>
    <row r="337" spans="4:21" x14ac:dyDescent="0.35">
      <c r="D337" s="8"/>
      <c r="F337" s="8"/>
      <c r="I337" s="8"/>
      <c r="J337" s="1">
        <v>204693</v>
      </c>
      <c r="K337" s="3" t="e">
        <f t="shared" si="69"/>
        <v>#VALUE!</v>
      </c>
      <c r="L337" s="8" t="e">
        <f t="shared" si="70"/>
        <v>#VALUE!</v>
      </c>
      <c r="M337" s="8" t="e">
        <f t="shared" si="71"/>
        <v>#VALUE!</v>
      </c>
      <c r="N337" s="3" t="e">
        <f t="shared" si="72"/>
        <v>#VALUE!</v>
      </c>
      <c r="O337" s="3" t="e">
        <f t="shared" si="73"/>
        <v>#VALUE!</v>
      </c>
      <c r="Q337" s="1">
        <v>204693</v>
      </c>
      <c r="T337" t="e">
        <f t="shared" si="75"/>
        <v>#VALUE!</v>
      </c>
      <c r="U337" t="e">
        <f t="shared" si="74"/>
        <v>#VALUE!</v>
      </c>
    </row>
    <row r="338" spans="4:21" x14ac:dyDescent="0.35">
      <c r="D338" s="8"/>
      <c r="F338" s="8"/>
      <c r="I338" s="8"/>
      <c r="J338" s="1">
        <v>164795</v>
      </c>
      <c r="K338" s="3" t="e">
        <f t="shared" si="69"/>
        <v>#VALUE!</v>
      </c>
      <c r="L338" s="8" t="e">
        <f t="shared" si="70"/>
        <v>#VALUE!</v>
      </c>
      <c r="M338" s="8" t="e">
        <f t="shared" si="71"/>
        <v>#VALUE!</v>
      </c>
      <c r="N338" s="3" t="e">
        <f t="shared" si="72"/>
        <v>#VALUE!</v>
      </c>
      <c r="O338" s="3" t="e">
        <f t="shared" si="73"/>
        <v>#VALUE!</v>
      </c>
      <c r="Q338" s="1">
        <v>164795</v>
      </c>
      <c r="T338" t="e">
        <f t="shared" si="75"/>
        <v>#VALUE!</v>
      </c>
      <c r="U338" t="e">
        <f t="shared" si="74"/>
        <v>#VALUE!</v>
      </c>
    </row>
    <row r="339" spans="4:21" x14ac:dyDescent="0.35">
      <c r="D339" s="8"/>
      <c r="F339" s="8"/>
      <c r="I339" s="8"/>
      <c r="J339" s="1">
        <v>220785</v>
      </c>
      <c r="K339" s="3" t="e">
        <f t="shared" si="69"/>
        <v>#VALUE!</v>
      </c>
      <c r="L339" s="8" t="e">
        <f t="shared" si="70"/>
        <v>#VALUE!</v>
      </c>
      <c r="M339" s="8" t="e">
        <f t="shared" si="71"/>
        <v>#VALUE!</v>
      </c>
      <c r="N339" s="3" t="e">
        <f t="shared" si="72"/>
        <v>#VALUE!</v>
      </c>
      <c r="O339" s="3" t="e">
        <f t="shared" si="73"/>
        <v>#VALUE!</v>
      </c>
      <c r="Q339" s="1">
        <v>220785</v>
      </c>
      <c r="T339" t="e">
        <f t="shared" si="75"/>
        <v>#VALUE!</v>
      </c>
      <c r="U339" t="e">
        <f t="shared" si="74"/>
        <v>#VALUE!</v>
      </c>
    </row>
    <row r="340" spans="4:21" x14ac:dyDescent="0.35">
      <c r="D340" s="8"/>
      <c r="F340" s="8"/>
      <c r="I340" s="8"/>
      <c r="J340" s="1">
        <v>315606</v>
      </c>
      <c r="K340" s="3" t="e">
        <f t="shared" si="69"/>
        <v>#VALUE!</v>
      </c>
      <c r="L340" s="8" t="e">
        <f t="shared" si="70"/>
        <v>#VALUE!</v>
      </c>
      <c r="M340" s="8" t="e">
        <f t="shared" si="71"/>
        <v>#VALUE!</v>
      </c>
      <c r="N340" s="3" t="e">
        <f t="shared" si="72"/>
        <v>#VALUE!</v>
      </c>
      <c r="O340" s="3" t="e">
        <f t="shared" si="73"/>
        <v>#VALUE!</v>
      </c>
      <c r="Q340" s="1">
        <v>315606</v>
      </c>
      <c r="T340" t="e">
        <f t="shared" si="75"/>
        <v>#VALUE!</v>
      </c>
      <c r="U340" t="e">
        <f t="shared" si="74"/>
        <v>#VALUE!</v>
      </c>
    </row>
    <row r="341" spans="4:21" x14ac:dyDescent="0.35">
      <c r="D341" s="8"/>
      <c r="F341" s="8"/>
      <c r="I341" s="8"/>
      <c r="J341" s="1">
        <v>84605</v>
      </c>
      <c r="K341" s="3" t="e">
        <f t="shared" si="69"/>
        <v>#VALUE!</v>
      </c>
      <c r="L341" s="8" t="e">
        <f t="shared" si="70"/>
        <v>#VALUE!</v>
      </c>
      <c r="M341" s="8" t="e">
        <f t="shared" si="71"/>
        <v>#VALUE!</v>
      </c>
      <c r="N341" s="3" t="e">
        <f t="shared" si="72"/>
        <v>#VALUE!</v>
      </c>
      <c r="O341" s="3" t="e">
        <f t="shared" si="73"/>
        <v>#VALUE!</v>
      </c>
      <c r="Q341" s="1">
        <v>84605</v>
      </c>
      <c r="T341" t="e">
        <f t="shared" si="75"/>
        <v>#VALUE!</v>
      </c>
      <c r="U341" t="e">
        <f t="shared" si="74"/>
        <v>#VALUE!</v>
      </c>
    </row>
    <row r="342" spans="4:21" x14ac:dyDescent="0.35">
      <c r="D342" s="8"/>
      <c r="F342" s="8"/>
      <c r="I342" s="8"/>
      <c r="J342" s="1">
        <v>92823</v>
      </c>
      <c r="K342" s="3" t="e">
        <f t="shared" si="69"/>
        <v>#VALUE!</v>
      </c>
      <c r="L342" s="8" t="e">
        <f t="shared" si="70"/>
        <v>#VALUE!</v>
      </c>
      <c r="M342" s="8" t="e">
        <f t="shared" si="71"/>
        <v>#VALUE!</v>
      </c>
      <c r="N342" s="3" t="e">
        <f t="shared" si="72"/>
        <v>#VALUE!</v>
      </c>
      <c r="O342" s="3" t="e">
        <f t="shared" si="73"/>
        <v>#VALUE!</v>
      </c>
      <c r="Q342" s="1">
        <v>92823</v>
      </c>
      <c r="T342" t="e">
        <f t="shared" si="75"/>
        <v>#VALUE!</v>
      </c>
      <c r="U342" t="e">
        <f t="shared" si="74"/>
        <v>#VALUE!</v>
      </c>
    </row>
    <row r="343" spans="4:21" x14ac:dyDescent="0.35">
      <c r="D343" s="8"/>
      <c r="F343" s="8"/>
      <c r="I343" s="8"/>
      <c r="J343" s="1">
        <v>170978</v>
      </c>
      <c r="K343" s="3" t="e">
        <f t="shared" si="69"/>
        <v>#VALUE!</v>
      </c>
      <c r="L343" s="8" t="e">
        <f t="shared" si="70"/>
        <v>#VALUE!</v>
      </c>
      <c r="M343" s="8" t="e">
        <f t="shared" si="71"/>
        <v>#VALUE!</v>
      </c>
      <c r="N343" s="3" t="e">
        <f t="shared" si="72"/>
        <v>#VALUE!</v>
      </c>
      <c r="O343" s="3" t="e">
        <f t="shared" si="73"/>
        <v>#VALUE!</v>
      </c>
      <c r="Q343" s="1">
        <v>170978</v>
      </c>
      <c r="T343" t="e">
        <f t="shared" si="75"/>
        <v>#VALUE!</v>
      </c>
      <c r="U343" t="e">
        <f t="shared" si="74"/>
        <v>#VALUE!</v>
      </c>
    </row>
    <row r="344" spans="4:21" x14ac:dyDescent="0.35">
      <c r="D344" s="8"/>
      <c r="F344" s="8"/>
      <c r="I344" s="8"/>
      <c r="J344" s="1">
        <v>166786</v>
      </c>
      <c r="K344" s="3" t="e">
        <f t="shared" si="69"/>
        <v>#VALUE!</v>
      </c>
      <c r="L344" s="8" t="e">
        <f t="shared" si="70"/>
        <v>#VALUE!</v>
      </c>
      <c r="M344" s="8" t="e">
        <f t="shared" si="71"/>
        <v>#VALUE!</v>
      </c>
      <c r="N344" s="3" t="e">
        <f t="shared" si="72"/>
        <v>#VALUE!</v>
      </c>
      <c r="O344" s="3" t="e">
        <f t="shared" si="73"/>
        <v>#VALUE!</v>
      </c>
      <c r="Q344" s="1">
        <v>166786</v>
      </c>
      <c r="T344" t="e">
        <f t="shared" si="75"/>
        <v>#VALUE!</v>
      </c>
      <c r="U344" t="e">
        <f t="shared" si="74"/>
        <v>#VALUE!</v>
      </c>
    </row>
    <row r="345" spans="4:21" x14ac:dyDescent="0.35">
      <c r="D345" s="8"/>
      <c r="F345" s="8"/>
      <c r="I345" s="8"/>
      <c r="J345" s="1">
        <v>241889</v>
      </c>
      <c r="K345" s="3" t="e">
        <f t="shared" si="69"/>
        <v>#VALUE!</v>
      </c>
      <c r="L345" s="8" t="e">
        <f t="shared" si="70"/>
        <v>#VALUE!</v>
      </c>
      <c r="M345" s="8" t="e">
        <f t="shared" si="71"/>
        <v>#VALUE!</v>
      </c>
      <c r="N345" s="3" t="e">
        <f t="shared" si="72"/>
        <v>#VALUE!</v>
      </c>
      <c r="O345" s="3" t="e">
        <f t="shared" si="73"/>
        <v>#VALUE!</v>
      </c>
      <c r="Q345" s="1">
        <v>241889</v>
      </c>
      <c r="T345" t="e">
        <f t="shared" si="75"/>
        <v>#VALUE!</v>
      </c>
      <c r="U345" t="e">
        <f t="shared" si="74"/>
        <v>#VALUE!</v>
      </c>
    </row>
    <row r="346" spans="4:21" x14ac:dyDescent="0.35">
      <c r="D346" s="8"/>
      <c r="F346" s="8"/>
      <c r="I346" s="8"/>
      <c r="J346" s="1">
        <v>159526</v>
      </c>
      <c r="K346" s="3" t="e">
        <f t="shared" si="69"/>
        <v>#VALUE!</v>
      </c>
      <c r="L346" s="8" t="e">
        <f t="shared" si="70"/>
        <v>#VALUE!</v>
      </c>
      <c r="M346" s="8" t="e">
        <f t="shared" si="71"/>
        <v>#VALUE!</v>
      </c>
      <c r="N346" s="3" t="e">
        <f t="shared" si="72"/>
        <v>#VALUE!</v>
      </c>
      <c r="O346" s="3" t="e">
        <f t="shared" si="73"/>
        <v>#VALUE!</v>
      </c>
      <c r="Q346" s="1">
        <v>159526</v>
      </c>
      <c r="T346" t="e">
        <f t="shared" si="75"/>
        <v>#VALUE!</v>
      </c>
      <c r="U346" t="e">
        <f t="shared" si="74"/>
        <v>#VALUE!</v>
      </c>
    </row>
    <row r="347" spans="4:21" x14ac:dyDescent="0.35">
      <c r="D347" s="8"/>
      <c r="F347" s="8"/>
      <c r="I347" s="8"/>
      <c r="J347" s="1">
        <v>137042</v>
      </c>
      <c r="K347" s="3" t="e">
        <f t="shared" si="69"/>
        <v>#VALUE!</v>
      </c>
      <c r="L347" s="8" t="e">
        <f t="shared" si="70"/>
        <v>#VALUE!</v>
      </c>
      <c r="M347" s="8" t="e">
        <f t="shared" si="71"/>
        <v>#VALUE!</v>
      </c>
      <c r="N347" s="3" t="e">
        <f t="shared" si="72"/>
        <v>#VALUE!</v>
      </c>
      <c r="O347" s="3" t="e">
        <f t="shared" si="73"/>
        <v>#VALUE!</v>
      </c>
      <c r="Q347" s="1">
        <v>137042</v>
      </c>
      <c r="T347" t="e">
        <f t="shared" si="75"/>
        <v>#VALUE!</v>
      </c>
      <c r="U347" t="e">
        <f t="shared" si="74"/>
        <v>#VALUE!</v>
      </c>
    </row>
    <row r="348" spans="4:21" x14ac:dyDescent="0.35">
      <c r="D348" s="8"/>
      <c r="F348" s="8"/>
      <c r="I348" s="8"/>
      <c r="J348" s="1">
        <v>143334</v>
      </c>
      <c r="K348" s="3" t="e">
        <f t="shared" si="69"/>
        <v>#VALUE!</v>
      </c>
      <c r="L348" s="8" t="e">
        <f t="shared" si="70"/>
        <v>#VALUE!</v>
      </c>
      <c r="M348" s="8" t="e">
        <f t="shared" si="71"/>
        <v>#VALUE!</v>
      </c>
      <c r="N348" s="3" t="e">
        <f t="shared" si="72"/>
        <v>#VALUE!</v>
      </c>
      <c r="O348" s="3" t="e">
        <f t="shared" si="73"/>
        <v>#VALUE!</v>
      </c>
      <c r="Q348" s="1">
        <v>143334</v>
      </c>
      <c r="T348" t="e">
        <f t="shared" si="75"/>
        <v>#VALUE!</v>
      </c>
      <c r="U348" t="e">
        <f t="shared" si="74"/>
        <v>#VALUE!</v>
      </c>
    </row>
    <row r="349" spans="4:21" x14ac:dyDescent="0.35">
      <c r="D349" s="8"/>
      <c r="F349" s="8"/>
      <c r="I349" s="8"/>
      <c r="J349" s="1">
        <v>206900</v>
      </c>
      <c r="K349" s="3" t="e">
        <f t="shared" si="69"/>
        <v>#VALUE!</v>
      </c>
      <c r="L349" s="8" t="e">
        <f t="shared" si="70"/>
        <v>#VALUE!</v>
      </c>
      <c r="M349" s="8" t="e">
        <f t="shared" si="71"/>
        <v>#VALUE!</v>
      </c>
      <c r="N349" s="3" t="e">
        <f t="shared" si="72"/>
        <v>#VALUE!</v>
      </c>
      <c r="O349" s="3" t="e">
        <f t="shared" si="73"/>
        <v>#VALUE!</v>
      </c>
      <c r="Q349" s="1">
        <v>206900</v>
      </c>
      <c r="T349" t="e">
        <f t="shared" si="75"/>
        <v>#VALUE!</v>
      </c>
      <c r="U349" t="e">
        <f t="shared" si="74"/>
        <v>#VALUE!</v>
      </c>
    </row>
    <row r="350" spans="4:21" x14ac:dyDescent="0.35">
      <c r="D350" s="8"/>
      <c r="F350" s="8"/>
      <c r="I350" s="8"/>
      <c r="J350" s="1">
        <v>252084</v>
      </c>
      <c r="K350" s="3" t="e">
        <f t="shared" si="69"/>
        <v>#VALUE!</v>
      </c>
      <c r="L350" s="8" t="e">
        <f t="shared" si="70"/>
        <v>#VALUE!</v>
      </c>
      <c r="M350" s="8" t="e">
        <f t="shared" si="71"/>
        <v>#VALUE!</v>
      </c>
      <c r="N350" s="3" t="e">
        <f t="shared" si="72"/>
        <v>#VALUE!</v>
      </c>
      <c r="O350" s="3" t="e">
        <f t="shared" si="73"/>
        <v>#VALUE!</v>
      </c>
      <c r="Q350" s="1">
        <v>252084</v>
      </c>
      <c r="T350" t="e">
        <f t="shared" si="75"/>
        <v>#VALUE!</v>
      </c>
      <c r="U350" t="e">
        <f t="shared" si="74"/>
        <v>#VALUE!</v>
      </c>
    </row>
    <row r="351" spans="4:21" x14ac:dyDescent="0.35">
      <c r="D351" s="8"/>
      <c r="F351" s="8"/>
      <c r="I351" s="8"/>
      <c r="J351" s="1">
        <v>195378</v>
      </c>
      <c r="K351" s="3" t="e">
        <f t="shared" si="69"/>
        <v>#VALUE!</v>
      </c>
      <c r="L351" s="8" t="e">
        <f t="shared" si="70"/>
        <v>#VALUE!</v>
      </c>
      <c r="M351" s="8" t="e">
        <f t="shared" si="71"/>
        <v>#VALUE!</v>
      </c>
      <c r="N351" s="3" t="e">
        <f t="shared" si="72"/>
        <v>#VALUE!</v>
      </c>
      <c r="O351" s="3" t="e">
        <f t="shared" si="73"/>
        <v>#VALUE!</v>
      </c>
      <c r="Q351" s="1">
        <v>195378</v>
      </c>
      <c r="T351" t="e">
        <f t="shared" si="75"/>
        <v>#VALUE!</v>
      </c>
      <c r="U351" t="e">
        <f t="shared" si="74"/>
        <v>#VALUE!</v>
      </c>
    </row>
    <row r="352" spans="4:21" x14ac:dyDescent="0.35">
      <c r="D352" s="8"/>
      <c r="F352" s="8"/>
      <c r="I352" s="8"/>
      <c r="J352" s="1">
        <v>194134</v>
      </c>
      <c r="K352" s="3" t="e">
        <f t="shared" si="69"/>
        <v>#VALUE!</v>
      </c>
      <c r="L352" s="8" t="e">
        <f t="shared" si="70"/>
        <v>#VALUE!</v>
      </c>
      <c r="M352" s="8" t="e">
        <f t="shared" si="71"/>
        <v>#VALUE!</v>
      </c>
      <c r="N352" s="3" t="e">
        <f t="shared" si="72"/>
        <v>#VALUE!</v>
      </c>
      <c r="O352" s="3" t="e">
        <f t="shared" si="73"/>
        <v>#VALUE!</v>
      </c>
      <c r="Q352" s="1">
        <v>194134</v>
      </c>
      <c r="T352" t="e">
        <f t="shared" si="75"/>
        <v>#VALUE!</v>
      </c>
      <c r="U352" t="e">
        <f t="shared" si="74"/>
        <v>#VALUE!</v>
      </c>
    </row>
    <row r="353" spans="4:21" x14ac:dyDescent="0.35">
      <c r="D353" s="8"/>
      <c r="F353" s="8"/>
      <c r="I353" s="8"/>
      <c r="J353" s="1">
        <v>186057</v>
      </c>
      <c r="K353" s="3" t="e">
        <f t="shared" si="69"/>
        <v>#VALUE!</v>
      </c>
      <c r="L353" s="8" t="e">
        <f t="shared" si="70"/>
        <v>#VALUE!</v>
      </c>
      <c r="M353" s="8" t="e">
        <f t="shared" si="71"/>
        <v>#VALUE!</v>
      </c>
      <c r="N353" s="3" t="e">
        <f t="shared" si="72"/>
        <v>#VALUE!</v>
      </c>
      <c r="O353" s="3" t="e">
        <f t="shared" si="73"/>
        <v>#VALUE!</v>
      </c>
      <c r="Q353" s="1">
        <v>186057</v>
      </c>
      <c r="T353" t="e">
        <f t="shared" si="75"/>
        <v>#VALUE!</v>
      </c>
      <c r="U353" t="e">
        <f t="shared" si="74"/>
        <v>#VALUE!</v>
      </c>
    </row>
    <row r="354" spans="4:21" x14ac:dyDescent="0.35">
      <c r="D354" s="8"/>
      <c r="F354" s="8"/>
      <c r="I354" s="8"/>
      <c r="J354" s="1">
        <v>195154</v>
      </c>
      <c r="K354" s="3" t="e">
        <f t="shared" si="69"/>
        <v>#VALUE!</v>
      </c>
      <c r="L354" s="8" t="e">
        <f t="shared" si="70"/>
        <v>#VALUE!</v>
      </c>
      <c r="M354" s="8" t="e">
        <f t="shared" si="71"/>
        <v>#VALUE!</v>
      </c>
      <c r="N354" s="3" t="e">
        <f t="shared" si="72"/>
        <v>#VALUE!</v>
      </c>
      <c r="O354" s="3" t="e">
        <f t="shared" si="73"/>
        <v>#VALUE!</v>
      </c>
      <c r="Q354" s="1">
        <v>195154</v>
      </c>
      <c r="T354" t="e">
        <f t="shared" si="75"/>
        <v>#VALUE!</v>
      </c>
      <c r="U354" t="e">
        <f t="shared" si="74"/>
        <v>#VALUE!</v>
      </c>
    </row>
    <row r="355" spans="4:21" x14ac:dyDescent="0.35">
      <c r="D355" s="8"/>
      <c r="F355" s="8"/>
      <c r="I355" s="8"/>
      <c r="J355" s="1">
        <v>247281</v>
      </c>
      <c r="K355" s="3" t="e">
        <f t="shared" si="69"/>
        <v>#VALUE!</v>
      </c>
      <c r="L355" s="8" t="e">
        <f t="shared" si="70"/>
        <v>#VALUE!</v>
      </c>
      <c r="M355" s="8" t="e">
        <f t="shared" si="71"/>
        <v>#VALUE!</v>
      </c>
      <c r="N355" s="3" t="e">
        <f t="shared" si="72"/>
        <v>#VALUE!</v>
      </c>
      <c r="O355" s="3" t="e">
        <f t="shared" si="73"/>
        <v>#VALUE!</v>
      </c>
      <c r="Q355" s="1">
        <v>247281</v>
      </c>
      <c r="T355" t="e">
        <f t="shared" si="75"/>
        <v>#VALUE!</v>
      </c>
      <c r="U355" t="e">
        <f t="shared" si="74"/>
        <v>#VALUE!</v>
      </c>
    </row>
    <row r="356" spans="4:21" x14ac:dyDescent="0.35">
      <c r="D356" s="8"/>
      <c r="F356" s="8"/>
      <c r="I356" s="8"/>
      <c r="J356" s="1">
        <v>145241</v>
      </c>
      <c r="K356" s="3" t="e">
        <f t="shared" si="69"/>
        <v>#VALUE!</v>
      </c>
      <c r="L356" s="8" t="e">
        <f t="shared" si="70"/>
        <v>#VALUE!</v>
      </c>
      <c r="M356" s="8" t="e">
        <f t="shared" si="71"/>
        <v>#VALUE!</v>
      </c>
      <c r="N356" s="3" t="e">
        <f t="shared" si="72"/>
        <v>#VALUE!</v>
      </c>
      <c r="O356" s="3" t="e">
        <f t="shared" si="73"/>
        <v>#VALUE!</v>
      </c>
      <c r="Q356" s="1">
        <v>145241</v>
      </c>
      <c r="T356" t="e">
        <f t="shared" si="75"/>
        <v>#VALUE!</v>
      </c>
      <c r="U356" t="e">
        <f t="shared" si="74"/>
        <v>#VALUE!</v>
      </c>
    </row>
    <row r="357" spans="4:21" x14ac:dyDescent="0.35">
      <c r="D357" s="8"/>
      <c r="F357" s="8"/>
      <c r="I357" s="8"/>
      <c r="J357" s="1">
        <v>281132</v>
      </c>
      <c r="K357" s="3" t="e">
        <f t="shared" si="69"/>
        <v>#VALUE!</v>
      </c>
      <c r="L357" s="8" t="e">
        <f t="shared" si="70"/>
        <v>#VALUE!</v>
      </c>
      <c r="M357" s="8" t="e">
        <f t="shared" si="71"/>
        <v>#VALUE!</v>
      </c>
      <c r="N357" s="3" t="e">
        <f t="shared" si="72"/>
        <v>#VALUE!</v>
      </c>
      <c r="O357" s="3" t="e">
        <f t="shared" si="73"/>
        <v>#VALUE!</v>
      </c>
      <c r="Q357" s="1">
        <v>281132</v>
      </c>
      <c r="T357" t="e">
        <f t="shared" si="75"/>
        <v>#VALUE!</v>
      </c>
      <c r="U357" t="e">
        <f t="shared" si="74"/>
        <v>#VALUE!</v>
      </c>
    </row>
    <row r="358" spans="4:21" x14ac:dyDescent="0.35">
      <c r="D358" s="8"/>
      <c r="F358" s="8"/>
      <c r="I358" s="8"/>
      <c r="J358" s="1">
        <v>247137</v>
      </c>
      <c r="K358" s="3" t="e">
        <f t="shared" si="69"/>
        <v>#VALUE!</v>
      </c>
      <c r="L358" s="8" t="e">
        <f t="shared" si="70"/>
        <v>#VALUE!</v>
      </c>
      <c r="M358" s="8" t="e">
        <f t="shared" si="71"/>
        <v>#VALUE!</v>
      </c>
      <c r="N358" s="3" t="e">
        <f t="shared" si="72"/>
        <v>#VALUE!</v>
      </c>
      <c r="O358" s="3" t="e">
        <f t="shared" si="73"/>
        <v>#VALUE!</v>
      </c>
      <c r="Q358" s="1">
        <v>247137</v>
      </c>
      <c r="T358" t="e">
        <f t="shared" si="75"/>
        <v>#VALUE!</v>
      </c>
      <c r="U358" t="e">
        <f t="shared" si="74"/>
        <v>#VALUE!</v>
      </c>
    </row>
    <row r="359" spans="4:21" x14ac:dyDescent="0.35">
      <c r="D359" s="8"/>
      <c r="F359" s="8"/>
      <c r="I359" s="8"/>
      <c r="J359" s="1">
        <v>173462</v>
      </c>
      <c r="K359" s="3" t="e">
        <f t="shared" si="69"/>
        <v>#VALUE!</v>
      </c>
      <c r="L359" s="8" t="e">
        <f t="shared" si="70"/>
        <v>#VALUE!</v>
      </c>
      <c r="M359" s="8" t="e">
        <f t="shared" si="71"/>
        <v>#VALUE!</v>
      </c>
      <c r="N359" s="3" t="e">
        <f t="shared" si="72"/>
        <v>#VALUE!</v>
      </c>
      <c r="O359" s="3" t="e">
        <f t="shared" si="73"/>
        <v>#VALUE!</v>
      </c>
      <c r="Q359" s="1">
        <v>173462</v>
      </c>
      <c r="T359" t="e">
        <f t="shared" si="75"/>
        <v>#VALUE!</v>
      </c>
      <c r="U359" t="e">
        <f t="shared" si="74"/>
        <v>#VALUE!</v>
      </c>
    </row>
    <row r="360" spans="4:21" x14ac:dyDescent="0.35">
      <c r="D360" s="8"/>
      <c r="F360" s="8"/>
      <c r="I360" s="8"/>
      <c r="J360" s="1">
        <v>196699</v>
      </c>
      <c r="K360" s="3" t="e">
        <f t="shared" si="69"/>
        <v>#VALUE!</v>
      </c>
      <c r="L360" s="8" t="e">
        <f t="shared" si="70"/>
        <v>#VALUE!</v>
      </c>
      <c r="M360" s="8" t="e">
        <f t="shared" si="71"/>
        <v>#VALUE!</v>
      </c>
      <c r="N360" s="3" t="e">
        <f t="shared" si="72"/>
        <v>#VALUE!</v>
      </c>
      <c r="O360" s="3" t="e">
        <f t="shared" si="73"/>
        <v>#VALUE!</v>
      </c>
      <c r="Q360" s="1">
        <v>196699</v>
      </c>
      <c r="T360" t="e">
        <f t="shared" si="75"/>
        <v>#VALUE!</v>
      </c>
      <c r="U360" t="e">
        <f t="shared" si="74"/>
        <v>#VALUE!</v>
      </c>
    </row>
    <row r="361" spans="4:21" x14ac:dyDescent="0.35">
      <c r="D361" s="8"/>
      <c r="F361" s="8"/>
      <c r="I361" s="8"/>
      <c r="J361" s="1">
        <v>193014</v>
      </c>
      <c r="K361" s="3" t="e">
        <f t="shared" si="69"/>
        <v>#VALUE!</v>
      </c>
      <c r="L361" s="8" t="e">
        <f t="shared" si="70"/>
        <v>#VALUE!</v>
      </c>
      <c r="M361" s="8" t="e">
        <f t="shared" si="71"/>
        <v>#VALUE!</v>
      </c>
      <c r="N361" s="3" t="e">
        <f t="shared" si="72"/>
        <v>#VALUE!</v>
      </c>
      <c r="O361" s="3" t="e">
        <f t="shared" si="73"/>
        <v>#VALUE!</v>
      </c>
      <c r="Q361" s="1">
        <v>193014</v>
      </c>
      <c r="T361" t="e">
        <f t="shared" si="75"/>
        <v>#VALUE!</v>
      </c>
      <c r="U361" t="e">
        <f t="shared" si="74"/>
        <v>#VALUE!</v>
      </c>
    </row>
    <row r="362" spans="4:21" x14ac:dyDescent="0.35">
      <c r="D362" s="8"/>
      <c r="F362" s="8"/>
      <c r="I362" s="8"/>
      <c r="J362" s="1">
        <v>178509</v>
      </c>
      <c r="K362" s="3" t="e">
        <f t="shared" si="69"/>
        <v>#VALUE!</v>
      </c>
      <c r="L362" s="8" t="e">
        <f t="shared" si="70"/>
        <v>#VALUE!</v>
      </c>
      <c r="M362" s="8" t="e">
        <f t="shared" si="71"/>
        <v>#VALUE!</v>
      </c>
      <c r="N362" s="3" t="e">
        <f t="shared" si="72"/>
        <v>#VALUE!</v>
      </c>
      <c r="O362" s="3" t="e">
        <f t="shared" si="73"/>
        <v>#VALUE!</v>
      </c>
      <c r="Q362" s="1">
        <v>178509</v>
      </c>
      <c r="T362" t="e">
        <f t="shared" si="75"/>
        <v>#VALUE!</v>
      </c>
      <c r="U362" t="e">
        <f t="shared" si="74"/>
        <v>#VALUE!</v>
      </c>
    </row>
    <row r="363" spans="4:21" x14ac:dyDescent="0.35">
      <c r="D363" s="8"/>
      <c r="F363" s="8"/>
      <c r="I363" s="8"/>
      <c r="J363" s="1">
        <v>104297</v>
      </c>
      <c r="K363" s="3" t="e">
        <f t="shared" si="69"/>
        <v>#VALUE!</v>
      </c>
      <c r="L363" s="8" t="e">
        <f t="shared" si="70"/>
        <v>#VALUE!</v>
      </c>
      <c r="M363" s="8" t="e">
        <f t="shared" si="71"/>
        <v>#VALUE!</v>
      </c>
      <c r="N363" s="3" t="e">
        <f t="shared" si="72"/>
        <v>#VALUE!</v>
      </c>
      <c r="O363" s="3" t="e">
        <f t="shared" si="73"/>
        <v>#VALUE!</v>
      </c>
      <c r="Q363" s="1">
        <v>104297</v>
      </c>
      <c r="T363" t="e">
        <f t="shared" si="75"/>
        <v>#VALUE!</v>
      </c>
      <c r="U363" t="e">
        <f t="shared" si="74"/>
        <v>#VALUE!</v>
      </c>
    </row>
    <row r="364" spans="4:21" x14ac:dyDescent="0.35">
      <c r="D364" s="8"/>
      <c r="F364" s="8"/>
      <c r="I364" s="8"/>
      <c r="J364" s="1">
        <v>114296</v>
      </c>
      <c r="K364" s="3" t="e">
        <f t="shared" si="69"/>
        <v>#VALUE!</v>
      </c>
      <c r="L364" s="8" t="e">
        <f t="shared" si="70"/>
        <v>#VALUE!</v>
      </c>
      <c r="M364" s="8" t="e">
        <f t="shared" si="71"/>
        <v>#VALUE!</v>
      </c>
      <c r="N364" s="3" t="e">
        <f t="shared" si="72"/>
        <v>#VALUE!</v>
      </c>
      <c r="O364" s="3" t="e">
        <f t="shared" si="73"/>
        <v>#VALUE!</v>
      </c>
      <c r="Q364" s="1">
        <v>114296</v>
      </c>
      <c r="T364" t="e">
        <f t="shared" si="75"/>
        <v>#VALUE!</v>
      </c>
      <c r="U364" t="e">
        <f t="shared" si="74"/>
        <v>#VALUE!</v>
      </c>
    </row>
    <row r="365" spans="4:21" x14ac:dyDescent="0.35">
      <c r="D365" s="8"/>
      <c r="F365" s="8"/>
      <c r="I365" s="8"/>
      <c r="J365" s="1">
        <v>149520</v>
      </c>
      <c r="K365" s="3" t="e">
        <f t="shared" si="69"/>
        <v>#VALUE!</v>
      </c>
      <c r="L365" s="8" t="e">
        <f t="shared" si="70"/>
        <v>#VALUE!</v>
      </c>
      <c r="M365" s="8" t="e">
        <f t="shared" si="71"/>
        <v>#VALUE!</v>
      </c>
      <c r="N365" s="3" t="e">
        <f t="shared" si="72"/>
        <v>#VALUE!</v>
      </c>
      <c r="O365" s="3" t="e">
        <f t="shared" si="73"/>
        <v>#VALUE!</v>
      </c>
      <c r="Q365" s="1">
        <v>149520</v>
      </c>
      <c r="T365" t="e">
        <f t="shared" si="75"/>
        <v>#VALUE!</v>
      </c>
      <c r="U365" t="e">
        <f t="shared" si="74"/>
        <v>#VALUE!</v>
      </c>
    </row>
    <row r="366" spans="4:21" x14ac:dyDescent="0.35">
      <c r="D366" s="8"/>
      <c r="F366" s="8"/>
      <c r="I366" s="8"/>
      <c r="J366" s="1">
        <v>107702</v>
      </c>
      <c r="K366" s="3" t="e">
        <f t="shared" si="69"/>
        <v>#VALUE!</v>
      </c>
      <c r="L366" s="8" t="e">
        <f t="shared" si="70"/>
        <v>#VALUE!</v>
      </c>
      <c r="M366" s="8" t="e">
        <f t="shared" si="71"/>
        <v>#VALUE!</v>
      </c>
      <c r="N366" s="3" t="e">
        <f t="shared" si="72"/>
        <v>#VALUE!</v>
      </c>
      <c r="O366" s="3" t="e">
        <f t="shared" si="73"/>
        <v>#VALUE!</v>
      </c>
      <c r="Q366" s="1">
        <v>107702</v>
      </c>
      <c r="T366" t="e">
        <f t="shared" si="75"/>
        <v>#VALUE!</v>
      </c>
      <c r="U366" t="e">
        <f t="shared" si="74"/>
        <v>#VALUE!</v>
      </c>
    </row>
    <row r="367" spans="4:21" x14ac:dyDescent="0.35">
      <c r="D367" s="8"/>
      <c r="F367" s="8"/>
      <c r="I367" s="8"/>
      <c r="J367" s="1">
        <v>140495</v>
      </c>
      <c r="K367" s="3" t="e">
        <f t="shared" si="69"/>
        <v>#VALUE!</v>
      </c>
      <c r="L367" s="8" t="e">
        <f t="shared" si="70"/>
        <v>#VALUE!</v>
      </c>
      <c r="M367" s="8" t="e">
        <f t="shared" si="71"/>
        <v>#VALUE!</v>
      </c>
      <c r="N367" s="3" t="e">
        <f t="shared" si="72"/>
        <v>#VALUE!</v>
      </c>
      <c r="O367" s="3" t="e">
        <f t="shared" si="73"/>
        <v>#VALUE!</v>
      </c>
      <c r="Q367" s="1">
        <v>140495</v>
      </c>
      <c r="T367" t="e">
        <f t="shared" si="75"/>
        <v>#VALUE!</v>
      </c>
      <c r="U367" t="e">
        <f t="shared" si="74"/>
        <v>#VALUE!</v>
      </c>
    </row>
    <row r="368" spans="4:21" x14ac:dyDescent="0.35">
      <c r="D368" s="8"/>
      <c r="F368" s="8"/>
      <c r="I368" s="8"/>
      <c r="J368" s="1">
        <v>192275</v>
      </c>
      <c r="K368" s="3" t="e">
        <f t="shared" si="69"/>
        <v>#VALUE!</v>
      </c>
      <c r="L368" s="8" t="e">
        <f t="shared" si="70"/>
        <v>#VALUE!</v>
      </c>
      <c r="M368" s="8" t="e">
        <f t="shared" si="71"/>
        <v>#VALUE!</v>
      </c>
      <c r="N368" s="3" t="e">
        <f t="shared" si="72"/>
        <v>#VALUE!</v>
      </c>
      <c r="O368" s="3" t="e">
        <f t="shared" si="73"/>
        <v>#VALUE!</v>
      </c>
      <c r="Q368" s="1">
        <v>192275</v>
      </c>
      <c r="T368" t="e">
        <f t="shared" si="75"/>
        <v>#VALUE!</v>
      </c>
      <c r="U368" t="e">
        <f t="shared" si="74"/>
        <v>#VALUE!</v>
      </c>
    </row>
    <row r="369" spans="4:21" x14ac:dyDescent="0.35">
      <c r="D369" s="8"/>
      <c r="F369" s="8"/>
      <c r="I369" s="8"/>
      <c r="J369" s="1">
        <v>208332</v>
      </c>
      <c r="K369" s="3" t="e">
        <f t="shared" si="69"/>
        <v>#VALUE!</v>
      </c>
      <c r="L369" s="8" t="e">
        <f t="shared" si="70"/>
        <v>#VALUE!</v>
      </c>
      <c r="M369" s="8" t="e">
        <f t="shared" si="71"/>
        <v>#VALUE!</v>
      </c>
      <c r="N369" s="3" t="e">
        <f t="shared" si="72"/>
        <v>#VALUE!</v>
      </c>
      <c r="O369" s="3" t="e">
        <f t="shared" si="73"/>
        <v>#VALUE!</v>
      </c>
      <c r="Q369" s="1">
        <v>208332</v>
      </c>
      <c r="T369" t="e">
        <f t="shared" si="75"/>
        <v>#VALUE!</v>
      </c>
      <c r="U369" t="e">
        <f t="shared" si="74"/>
        <v>#VALUE!</v>
      </c>
    </row>
    <row r="370" spans="4:21" x14ac:dyDescent="0.35">
      <c r="D370" s="8"/>
      <c r="F370" s="8"/>
      <c r="I370" s="8"/>
      <c r="J370" s="1">
        <v>154704</v>
      </c>
      <c r="K370" s="3" t="e">
        <f t="shared" si="69"/>
        <v>#VALUE!</v>
      </c>
      <c r="L370" s="8" t="e">
        <f t="shared" si="70"/>
        <v>#VALUE!</v>
      </c>
      <c r="M370" s="8" t="e">
        <f t="shared" si="71"/>
        <v>#VALUE!</v>
      </c>
      <c r="N370" s="3" t="e">
        <f t="shared" si="72"/>
        <v>#VALUE!</v>
      </c>
      <c r="O370" s="3" t="e">
        <f t="shared" si="73"/>
        <v>#VALUE!</v>
      </c>
      <c r="Q370" s="1">
        <v>154704</v>
      </c>
      <c r="T370" t="e">
        <f t="shared" si="75"/>
        <v>#VALUE!</v>
      </c>
      <c r="U370" t="e">
        <f t="shared" si="74"/>
        <v>#VALUE!</v>
      </c>
    </row>
    <row r="371" spans="4:21" x14ac:dyDescent="0.35">
      <c r="D371" s="8"/>
      <c r="F371" s="8"/>
      <c r="I371" s="8"/>
      <c r="J371" s="1">
        <v>180874</v>
      </c>
      <c r="K371" s="3" t="e">
        <f t="shared" si="69"/>
        <v>#VALUE!</v>
      </c>
      <c r="L371" s="8" t="e">
        <f t="shared" si="70"/>
        <v>#VALUE!</v>
      </c>
      <c r="M371" s="8" t="e">
        <f t="shared" si="71"/>
        <v>#VALUE!</v>
      </c>
      <c r="N371" s="3" t="e">
        <f t="shared" si="72"/>
        <v>#VALUE!</v>
      </c>
      <c r="O371" s="3" t="e">
        <f t="shared" si="73"/>
        <v>#VALUE!</v>
      </c>
      <c r="Q371" s="1">
        <v>180874</v>
      </c>
      <c r="T371" t="e">
        <f t="shared" si="75"/>
        <v>#VALUE!</v>
      </c>
      <c r="U371" t="e">
        <f t="shared" si="74"/>
        <v>#VALUE!</v>
      </c>
    </row>
    <row r="372" spans="4:21" x14ac:dyDescent="0.35">
      <c r="D372" s="8"/>
      <c r="F372" s="8"/>
      <c r="I372" s="8"/>
      <c r="J372" s="1">
        <v>224212</v>
      </c>
      <c r="K372" s="3" t="e">
        <f t="shared" si="69"/>
        <v>#VALUE!</v>
      </c>
      <c r="L372" s="8" t="e">
        <f t="shared" si="70"/>
        <v>#VALUE!</v>
      </c>
      <c r="M372" s="8" t="e">
        <f t="shared" si="71"/>
        <v>#VALUE!</v>
      </c>
      <c r="N372" s="3" t="e">
        <f t="shared" si="72"/>
        <v>#VALUE!</v>
      </c>
      <c r="O372" s="3" t="e">
        <f t="shared" si="73"/>
        <v>#VALUE!</v>
      </c>
      <c r="Q372" s="1">
        <v>224212</v>
      </c>
      <c r="T372" t="e">
        <f t="shared" si="75"/>
        <v>#VALUE!</v>
      </c>
      <c r="U372" t="e">
        <f t="shared" si="74"/>
        <v>#VALUE!</v>
      </c>
    </row>
    <row r="373" spans="4:21" x14ac:dyDescent="0.35">
      <c r="D373" s="8"/>
      <c r="F373" s="8"/>
      <c r="I373" s="8"/>
      <c r="J373" s="1">
        <v>276437</v>
      </c>
      <c r="K373" s="3" t="e">
        <f t="shared" si="69"/>
        <v>#VALUE!</v>
      </c>
      <c r="L373" s="8" t="e">
        <f t="shared" si="70"/>
        <v>#VALUE!</v>
      </c>
      <c r="M373" s="8" t="e">
        <f t="shared" si="71"/>
        <v>#VALUE!</v>
      </c>
      <c r="N373" s="3" t="e">
        <f t="shared" si="72"/>
        <v>#VALUE!</v>
      </c>
      <c r="O373" s="3" t="e">
        <f t="shared" si="73"/>
        <v>#VALUE!</v>
      </c>
      <c r="Q373" s="1">
        <v>276437</v>
      </c>
      <c r="T373" t="e">
        <f t="shared" si="75"/>
        <v>#VALUE!</v>
      </c>
      <c r="U373" t="e">
        <f t="shared" si="74"/>
        <v>#VALUE!</v>
      </c>
    </row>
    <row r="374" spans="4:21" x14ac:dyDescent="0.35">
      <c r="D374" s="8"/>
      <c r="F374" s="8"/>
      <c r="I374" s="8"/>
      <c r="J374" s="1">
        <v>211594</v>
      </c>
      <c r="K374" s="3" t="e">
        <f t="shared" si="69"/>
        <v>#VALUE!</v>
      </c>
      <c r="L374" s="8" t="e">
        <f t="shared" si="70"/>
        <v>#VALUE!</v>
      </c>
      <c r="M374" s="8" t="e">
        <f t="shared" si="71"/>
        <v>#VALUE!</v>
      </c>
      <c r="N374" s="3" t="e">
        <f t="shared" si="72"/>
        <v>#VALUE!</v>
      </c>
      <c r="O374" s="3" t="e">
        <f t="shared" si="73"/>
        <v>#VALUE!</v>
      </c>
      <c r="Q374" s="1">
        <v>211594</v>
      </c>
      <c r="T374" t="e">
        <f t="shared" si="75"/>
        <v>#VALUE!</v>
      </c>
      <c r="U374" t="e">
        <f t="shared" si="74"/>
        <v>#VALUE!</v>
      </c>
    </row>
    <row r="375" spans="4:21" x14ac:dyDescent="0.35">
      <c r="D375" s="8"/>
      <c r="F375" s="8"/>
      <c r="I375" s="8"/>
      <c r="J375" s="1">
        <v>260557</v>
      </c>
      <c r="K375" s="3" t="e">
        <f t="shared" si="69"/>
        <v>#VALUE!</v>
      </c>
      <c r="L375" s="8" t="e">
        <f t="shared" si="70"/>
        <v>#VALUE!</v>
      </c>
      <c r="M375" s="8" t="e">
        <f t="shared" si="71"/>
        <v>#VALUE!</v>
      </c>
      <c r="N375" s="3" t="e">
        <f t="shared" si="72"/>
        <v>#VALUE!</v>
      </c>
      <c r="O375" s="3" t="e">
        <f t="shared" si="73"/>
        <v>#VALUE!</v>
      </c>
      <c r="Q375" s="1">
        <v>260557</v>
      </c>
      <c r="T375" t="e">
        <f t="shared" si="75"/>
        <v>#VALUE!</v>
      </c>
      <c r="U375" t="e">
        <f t="shared" si="74"/>
        <v>#VALUE!</v>
      </c>
    </row>
    <row r="376" spans="4:21" x14ac:dyDescent="0.35">
      <c r="D376" s="8"/>
      <c r="F376" s="8"/>
      <c r="I376" s="8"/>
      <c r="J376" s="1">
        <v>287909</v>
      </c>
      <c r="K376" s="3" t="e">
        <f t="shared" si="69"/>
        <v>#VALUE!</v>
      </c>
      <c r="L376" s="8" t="e">
        <f t="shared" si="70"/>
        <v>#VALUE!</v>
      </c>
      <c r="M376" s="8" t="e">
        <f t="shared" si="71"/>
        <v>#VALUE!</v>
      </c>
      <c r="N376" s="3" t="e">
        <f t="shared" si="72"/>
        <v>#VALUE!</v>
      </c>
      <c r="O376" s="3" t="e">
        <f t="shared" si="73"/>
        <v>#VALUE!</v>
      </c>
      <c r="Q376" s="1">
        <v>287909</v>
      </c>
      <c r="T376" t="e">
        <f t="shared" si="75"/>
        <v>#VALUE!</v>
      </c>
      <c r="U376" t="e">
        <f t="shared" si="74"/>
        <v>#VALUE!</v>
      </c>
    </row>
    <row r="377" spans="4:21" x14ac:dyDescent="0.35">
      <c r="D377" s="8"/>
      <c r="F377" s="8"/>
      <c r="I377" s="8"/>
      <c r="J377" s="1">
        <v>233509</v>
      </c>
      <c r="K377" s="3" t="e">
        <f t="shared" si="69"/>
        <v>#VALUE!</v>
      </c>
      <c r="L377" s="8" t="e">
        <f t="shared" si="70"/>
        <v>#VALUE!</v>
      </c>
      <c r="M377" s="8" t="e">
        <f t="shared" si="71"/>
        <v>#VALUE!</v>
      </c>
      <c r="N377" s="3" t="e">
        <f t="shared" si="72"/>
        <v>#VALUE!</v>
      </c>
      <c r="O377" s="3" t="e">
        <f t="shared" si="73"/>
        <v>#VALUE!</v>
      </c>
      <c r="Q377" s="1">
        <v>233509</v>
      </c>
      <c r="T377" t="e">
        <f t="shared" si="75"/>
        <v>#VALUE!</v>
      </c>
      <c r="U377" t="e">
        <f t="shared" si="74"/>
        <v>#VALUE!</v>
      </c>
    </row>
    <row r="378" spans="4:21" x14ac:dyDescent="0.35">
      <c r="D378" s="8"/>
      <c r="F378" s="8"/>
      <c r="I378" s="8"/>
      <c r="J378" s="1">
        <v>232948</v>
      </c>
      <c r="K378" s="3" t="e">
        <f t="shared" si="69"/>
        <v>#VALUE!</v>
      </c>
      <c r="L378" s="8" t="e">
        <f t="shared" si="70"/>
        <v>#VALUE!</v>
      </c>
      <c r="M378" s="8" t="e">
        <f t="shared" si="71"/>
        <v>#VALUE!</v>
      </c>
      <c r="N378" s="3" t="e">
        <f t="shared" si="72"/>
        <v>#VALUE!</v>
      </c>
      <c r="O378" s="3" t="e">
        <f t="shared" si="73"/>
        <v>#VALUE!</v>
      </c>
      <c r="Q378" s="1">
        <v>232948</v>
      </c>
      <c r="T378" t="e">
        <f t="shared" si="75"/>
        <v>#VALUE!</v>
      </c>
      <c r="U378" t="e">
        <f t="shared" si="74"/>
        <v>#VALUE!</v>
      </c>
    </row>
    <row r="379" spans="4:21" x14ac:dyDescent="0.35">
      <c r="D379" s="8"/>
      <c r="F379" s="8"/>
      <c r="I379" s="8"/>
      <c r="J379" s="1">
        <v>95984</v>
      </c>
      <c r="K379" s="3" t="e">
        <f t="shared" si="69"/>
        <v>#VALUE!</v>
      </c>
      <c r="L379" s="8" t="e">
        <f t="shared" si="70"/>
        <v>#VALUE!</v>
      </c>
      <c r="M379" s="8" t="e">
        <f t="shared" si="71"/>
        <v>#VALUE!</v>
      </c>
      <c r="N379" s="3" t="e">
        <f t="shared" si="72"/>
        <v>#VALUE!</v>
      </c>
      <c r="O379" s="3" t="e">
        <f t="shared" si="73"/>
        <v>#VALUE!</v>
      </c>
      <c r="Q379" s="1">
        <v>95984</v>
      </c>
      <c r="T379" t="e">
        <f t="shared" si="75"/>
        <v>#VALUE!</v>
      </c>
      <c r="U379" t="e">
        <f t="shared" si="74"/>
        <v>#VALUE!</v>
      </c>
    </row>
    <row r="380" spans="4:21" x14ac:dyDescent="0.35">
      <c r="D380" s="8"/>
      <c r="F380" s="8"/>
      <c r="I380" s="8"/>
      <c r="J380" s="1">
        <v>188294</v>
      </c>
      <c r="K380" s="3" t="e">
        <f t="shared" si="69"/>
        <v>#VALUE!</v>
      </c>
      <c r="L380" s="8" t="e">
        <f t="shared" si="70"/>
        <v>#VALUE!</v>
      </c>
      <c r="M380" s="8" t="e">
        <f t="shared" si="71"/>
        <v>#VALUE!</v>
      </c>
      <c r="N380" s="3" t="e">
        <f t="shared" si="72"/>
        <v>#VALUE!</v>
      </c>
      <c r="O380" s="3" t="e">
        <f t="shared" si="73"/>
        <v>#VALUE!</v>
      </c>
      <c r="Q380" s="1">
        <v>188294</v>
      </c>
      <c r="T380" t="e">
        <f t="shared" si="75"/>
        <v>#VALUE!</v>
      </c>
      <c r="U380" t="e">
        <f t="shared" si="74"/>
        <v>#VALUE!</v>
      </c>
    </row>
    <row r="381" spans="4:21" x14ac:dyDescent="0.35">
      <c r="D381" s="8"/>
      <c r="F381" s="8"/>
      <c r="I381" s="8"/>
      <c r="J381" s="1">
        <v>233323</v>
      </c>
      <c r="K381" s="3" t="e">
        <f t="shared" si="69"/>
        <v>#VALUE!</v>
      </c>
      <c r="L381" s="8" t="e">
        <f t="shared" si="70"/>
        <v>#VALUE!</v>
      </c>
      <c r="M381" s="8" t="e">
        <f t="shared" si="71"/>
        <v>#VALUE!</v>
      </c>
      <c r="N381" s="3" t="e">
        <f t="shared" si="72"/>
        <v>#VALUE!</v>
      </c>
      <c r="O381" s="3" t="e">
        <f t="shared" si="73"/>
        <v>#VALUE!</v>
      </c>
      <c r="Q381" s="1">
        <v>233323</v>
      </c>
      <c r="T381" t="e">
        <f t="shared" si="75"/>
        <v>#VALUE!</v>
      </c>
      <c r="U381" t="e">
        <f t="shared" si="74"/>
        <v>#VALUE!</v>
      </c>
    </row>
    <row r="382" spans="4:21" x14ac:dyDescent="0.35">
      <c r="D382" s="8"/>
      <c r="F382" s="8"/>
      <c r="I382" s="8"/>
      <c r="J382" s="1">
        <v>146445</v>
      </c>
      <c r="K382" s="3" t="e">
        <f t="shared" si="69"/>
        <v>#VALUE!</v>
      </c>
      <c r="L382" s="8" t="e">
        <f t="shared" si="70"/>
        <v>#VALUE!</v>
      </c>
      <c r="M382" s="8" t="e">
        <f t="shared" si="71"/>
        <v>#VALUE!</v>
      </c>
      <c r="N382" s="3" t="e">
        <f t="shared" si="72"/>
        <v>#VALUE!</v>
      </c>
      <c r="O382" s="3" t="e">
        <f t="shared" si="73"/>
        <v>#VALUE!</v>
      </c>
      <c r="Q382" s="1">
        <v>146445</v>
      </c>
      <c r="T382" t="e">
        <f t="shared" si="75"/>
        <v>#VALUE!</v>
      </c>
      <c r="U382" t="e">
        <f t="shared" si="74"/>
        <v>#VALUE!</v>
      </c>
    </row>
    <row r="383" spans="4:21" x14ac:dyDescent="0.35">
      <c r="D383" s="8"/>
      <c r="F383" s="8"/>
      <c r="I383" s="8"/>
      <c r="J383" s="1">
        <v>428683</v>
      </c>
      <c r="K383" s="3" t="e">
        <f t="shared" si="69"/>
        <v>#VALUE!</v>
      </c>
      <c r="L383" s="8" t="e">
        <f t="shared" si="70"/>
        <v>#VALUE!</v>
      </c>
      <c r="M383" s="8" t="e">
        <f t="shared" si="71"/>
        <v>#VALUE!</v>
      </c>
      <c r="N383" s="3" t="e">
        <f t="shared" si="72"/>
        <v>#VALUE!</v>
      </c>
      <c r="O383" s="3" t="e">
        <f t="shared" si="73"/>
        <v>#VALUE!</v>
      </c>
      <c r="Q383" s="1">
        <v>428683</v>
      </c>
      <c r="T383" t="e">
        <f t="shared" si="75"/>
        <v>#VALUE!</v>
      </c>
      <c r="U383" t="e">
        <f t="shared" si="74"/>
        <v>#VALUE!</v>
      </c>
    </row>
    <row r="384" spans="4:21" x14ac:dyDescent="0.35">
      <c r="D384" s="8"/>
      <c r="F384" s="8"/>
      <c r="I384" s="8"/>
      <c r="J384" s="1">
        <v>89804</v>
      </c>
      <c r="K384" s="3" t="e">
        <f t="shared" si="69"/>
        <v>#VALUE!</v>
      </c>
      <c r="L384" s="8" t="e">
        <f t="shared" si="70"/>
        <v>#VALUE!</v>
      </c>
      <c r="M384" s="8" t="e">
        <f t="shared" si="71"/>
        <v>#VALUE!</v>
      </c>
      <c r="N384" s="3" t="e">
        <f t="shared" si="72"/>
        <v>#VALUE!</v>
      </c>
      <c r="O384" s="3" t="e">
        <f t="shared" si="73"/>
        <v>#VALUE!</v>
      </c>
      <c r="Q384" s="1">
        <v>89804</v>
      </c>
      <c r="T384" t="e">
        <f t="shared" si="75"/>
        <v>#VALUE!</v>
      </c>
      <c r="U384" t="e">
        <f t="shared" si="74"/>
        <v>#VALUE!</v>
      </c>
    </row>
    <row r="385" spans="4:21" x14ac:dyDescent="0.35">
      <c r="D385" s="8"/>
      <c r="F385" s="8"/>
      <c r="I385" s="8"/>
      <c r="J385" s="1">
        <v>273036</v>
      </c>
      <c r="K385" s="3" t="e">
        <f t="shared" si="69"/>
        <v>#VALUE!</v>
      </c>
      <c r="L385" s="8" t="e">
        <f t="shared" si="70"/>
        <v>#VALUE!</v>
      </c>
      <c r="M385" s="8" t="e">
        <f t="shared" si="71"/>
        <v>#VALUE!</v>
      </c>
      <c r="N385" s="3" t="e">
        <f t="shared" si="72"/>
        <v>#VALUE!</v>
      </c>
      <c r="O385" s="3" t="e">
        <f t="shared" si="73"/>
        <v>#VALUE!</v>
      </c>
      <c r="Q385" s="1">
        <v>273036</v>
      </c>
      <c r="T385" t="e">
        <f t="shared" si="75"/>
        <v>#VALUE!</v>
      </c>
      <c r="U385" t="e">
        <f t="shared" si="74"/>
        <v>#VALUE!</v>
      </c>
    </row>
    <row r="386" spans="4:21" x14ac:dyDescent="0.35">
      <c r="D386" s="8"/>
      <c r="F386" s="8"/>
      <c r="I386" s="8"/>
      <c r="J386" s="1">
        <v>172320</v>
      </c>
      <c r="K386" s="3" t="e">
        <f t="shared" si="69"/>
        <v>#VALUE!</v>
      </c>
      <c r="L386" s="8" t="e">
        <f t="shared" si="70"/>
        <v>#VALUE!</v>
      </c>
      <c r="M386" s="8" t="e">
        <f t="shared" si="71"/>
        <v>#VALUE!</v>
      </c>
      <c r="N386" s="3" t="e">
        <f t="shared" si="72"/>
        <v>#VALUE!</v>
      </c>
      <c r="O386" s="3" t="e">
        <f t="shared" si="73"/>
        <v>#VALUE!</v>
      </c>
      <c r="Q386" s="1">
        <v>172320</v>
      </c>
      <c r="T386" t="e">
        <f t="shared" si="75"/>
        <v>#VALUE!</v>
      </c>
      <c r="U386" t="e">
        <f t="shared" si="74"/>
        <v>#VALUE!</v>
      </c>
    </row>
    <row r="387" spans="4:21" x14ac:dyDescent="0.35">
      <c r="D387" s="8"/>
      <c r="F387" s="8"/>
      <c r="I387" s="8"/>
      <c r="J387" s="1">
        <v>310829</v>
      </c>
      <c r="K387" s="3" t="e">
        <f t="shared" ref="K387:K450" si="76">$X$22</f>
        <v>#VALUE!</v>
      </c>
      <c r="L387" s="8" t="e">
        <f t="shared" ref="L387:L450" si="77">VLOOKUP(O387,$Z$2:$AA$5,2,FALSE)</f>
        <v>#VALUE!</v>
      </c>
      <c r="M387" s="8" t="e">
        <f t="shared" ref="M387:M450" si="78">VLOOKUP(N387,$Z$8:$AA$10,2,FALSE)</f>
        <v>#VALUE!</v>
      </c>
      <c r="N387" s="3" t="e">
        <f t="shared" ref="N387:N450" si="79">VALUE(MID(U387,(5-MOD(A387,3)),1))</f>
        <v>#VALUE!</v>
      </c>
      <c r="O387" s="3" t="e">
        <f t="shared" ref="O387:O450" si="80">N388+N389</f>
        <v>#VALUE!</v>
      </c>
      <c r="Q387" s="1">
        <v>310829</v>
      </c>
      <c r="T387" t="e">
        <f t="shared" si="75"/>
        <v>#VALUE!</v>
      </c>
      <c r="U387" t="e">
        <f t="shared" ref="U387:U450" si="81">DEC2BIN(T387)</f>
        <v>#VALUE!</v>
      </c>
    </row>
    <row r="388" spans="4:21" x14ac:dyDescent="0.35">
      <c r="D388" s="8"/>
      <c r="F388" s="8"/>
      <c r="I388" s="8"/>
      <c r="J388" s="1">
        <v>168325</v>
      </c>
      <c r="K388" s="3" t="e">
        <f t="shared" si="76"/>
        <v>#VALUE!</v>
      </c>
      <c r="L388" s="8" t="e">
        <f t="shared" si="77"/>
        <v>#VALUE!</v>
      </c>
      <c r="M388" s="8" t="e">
        <f t="shared" si="78"/>
        <v>#VALUE!</v>
      </c>
      <c r="N388" s="3" t="e">
        <f t="shared" si="79"/>
        <v>#VALUE!</v>
      </c>
      <c r="O388" s="3" t="e">
        <f t="shared" si="80"/>
        <v>#VALUE!</v>
      </c>
      <c r="Q388" s="1">
        <v>168325</v>
      </c>
      <c r="T388" t="e">
        <f t="shared" ref="T388:T450" si="82">T387+1</f>
        <v>#VALUE!</v>
      </c>
      <c r="U388" t="e">
        <f t="shared" si="81"/>
        <v>#VALUE!</v>
      </c>
    </row>
    <row r="389" spans="4:21" x14ac:dyDescent="0.35">
      <c r="D389" s="8"/>
      <c r="F389" s="8"/>
      <c r="I389" s="8"/>
      <c r="J389" s="1">
        <v>182801</v>
      </c>
      <c r="K389" s="3" t="e">
        <f t="shared" si="76"/>
        <v>#VALUE!</v>
      </c>
      <c r="L389" s="8" t="e">
        <f t="shared" si="77"/>
        <v>#VALUE!</v>
      </c>
      <c r="M389" s="8" t="e">
        <f t="shared" si="78"/>
        <v>#VALUE!</v>
      </c>
      <c r="N389" s="3" t="e">
        <f t="shared" si="79"/>
        <v>#VALUE!</v>
      </c>
      <c r="O389" s="3" t="e">
        <f t="shared" si="80"/>
        <v>#VALUE!</v>
      </c>
      <c r="Q389" s="1">
        <v>182801</v>
      </c>
      <c r="T389" t="e">
        <f t="shared" si="82"/>
        <v>#VALUE!</v>
      </c>
      <c r="U389" t="e">
        <f t="shared" si="81"/>
        <v>#VALUE!</v>
      </c>
    </row>
    <row r="390" spans="4:21" x14ac:dyDescent="0.35">
      <c r="D390" s="8"/>
      <c r="F390" s="8"/>
      <c r="I390" s="8"/>
      <c r="J390" s="1">
        <v>151069</v>
      </c>
      <c r="K390" s="3" t="e">
        <f t="shared" si="76"/>
        <v>#VALUE!</v>
      </c>
      <c r="L390" s="8" t="e">
        <f t="shared" si="77"/>
        <v>#VALUE!</v>
      </c>
      <c r="M390" s="8" t="e">
        <f t="shared" si="78"/>
        <v>#VALUE!</v>
      </c>
      <c r="N390" s="3" t="e">
        <f t="shared" si="79"/>
        <v>#VALUE!</v>
      </c>
      <c r="O390" s="3" t="e">
        <f t="shared" si="80"/>
        <v>#VALUE!</v>
      </c>
      <c r="Q390" s="1">
        <v>151069</v>
      </c>
      <c r="T390" t="e">
        <f t="shared" si="82"/>
        <v>#VALUE!</v>
      </c>
      <c r="U390" t="e">
        <f t="shared" si="81"/>
        <v>#VALUE!</v>
      </c>
    </row>
    <row r="391" spans="4:21" x14ac:dyDescent="0.35">
      <c r="D391" s="8"/>
      <c r="F391" s="8"/>
      <c r="I391" s="8"/>
      <c r="J391" s="1">
        <v>133233</v>
      </c>
      <c r="K391" s="3" t="e">
        <f t="shared" si="76"/>
        <v>#VALUE!</v>
      </c>
      <c r="L391" s="8" t="e">
        <f t="shared" si="77"/>
        <v>#VALUE!</v>
      </c>
      <c r="M391" s="8" t="e">
        <f t="shared" si="78"/>
        <v>#VALUE!</v>
      </c>
      <c r="N391" s="3" t="e">
        <f t="shared" si="79"/>
        <v>#VALUE!</v>
      </c>
      <c r="O391" s="3" t="e">
        <f t="shared" si="80"/>
        <v>#VALUE!</v>
      </c>
      <c r="Q391" s="1">
        <v>133233</v>
      </c>
      <c r="T391" t="e">
        <f t="shared" si="82"/>
        <v>#VALUE!</v>
      </c>
      <c r="U391" t="e">
        <f t="shared" si="81"/>
        <v>#VALUE!</v>
      </c>
    </row>
    <row r="392" spans="4:21" x14ac:dyDescent="0.35">
      <c r="D392" s="8"/>
      <c r="F392" s="8"/>
      <c r="I392" s="8"/>
      <c r="J392" s="1">
        <v>152908</v>
      </c>
      <c r="K392" s="3" t="e">
        <f t="shared" si="76"/>
        <v>#VALUE!</v>
      </c>
      <c r="L392" s="8" t="e">
        <f t="shared" si="77"/>
        <v>#VALUE!</v>
      </c>
      <c r="M392" s="8" t="e">
        <f t="shared" si="78"/>
        <v>#VALUE!</v>
      </c>
      <c r="N392" s="3" t="e">
        <f t="shared" si="79"/>
        <v>#VALUE!</v>
      </c>
      <c r="O392" s="3" t="e">
        <f t="shared" si="80"/>
        <v>#VALUE!</v>
      </c>
      <c r="Q392" s="1">
        <v>152908</v>
      </c>
      <c r="T392" t="e">
        <f t="shared" si="82"/>
        <v>#VALUE!</v>
      </c>
      <c r="U392" t="e">
        <f t="shared" si="81"/>
        <v>#VALUE!</v>
      </c>
    </row>
    <row r="393" spans="4:21" x14ac:dyDescent="0.35">
      <c r="D393" s="8"/>
      <c r="F393" s="8"/>
      <c r="I393" s="8"/>
      <c r="J393" s="1">
        <v>153968</v>
      </c>
      <c r="K393" s="3" t="e">
        <f t="shared" si="76"/>
        <v>#VALUE!</v>
      </c>
      <c r="L393" s="8" t="e">
        <f t="shared" si="77"/>
        <v>#VALUE!</v>
      </c>
      <c r="M393" s="8" t="e">
        <f t="shared" si="78"/>
        <v>#VALUE!</v>
      </c>
      <c r="N393" s="3" t="e">
        <f t="shared" si="79"/>
        <v>#VALUE!</v>
      </c>
      <c r="O393" s="3" t="e">
        <f t="shared" si="80"/>
        <v>#VALUE!</v>
      </c>
      <c r="Q393" s="1">
        <v>153968</v>
      </c>
      <c r="T393" t="e">
        <f t="shared" si="82"/>
        <v>#VALUE!</v>
      </c>
      <c r="U393" t="e">
        <f t="shared" si="81"/>
        <v>#VALUE!</v>
      </c>
    </row>
    <row r="394" spans="4:21" x14ac:dyDescent="0.35">
      <c r="D394" s="8"/>
      <c r="F394" s="8"/>
      <c r="I394" s="8"/>
      <c r="J394" s="1">
        <v>139891</v>
      </c>
      <c r="K394" s="3" t="e">
        <f t="shared" si="76"/>
        <v>#VALUE!</v>
      </c>
      <c r="L394" s="8" t="e">
        <f t="shared" si="77"/>
        <v>#VALUE!</v>
      </c>
      <c r="M394" s="8" t="e">
        <f t="shared" si="78"/>
        <v>#VALUE!</v>
      </c>
      <c r="N394" s="3" t="e">
        <f t="shared" si="79"/>
        <v>#VALUE!</v>
      </c>
      <c r="O394" s="3" t="e">
        <f t="shared" si="80"/>
        <v>#VALUE!</v>
      </c>
      <c r="Q394" s="1">
        <v>139891</v>
      </c>
      <c r="T394" t="e">
        <f t="shared" si="82"/>
        <v>#VALUE!</v>
      </c>
      <c r="U394" t="e">
        <f t="shared" si="81"/>
        <v>#VALUE!</v>
      </c>
    </row>
    <row r="395" spans="4:21" x14ac:dyDescent="0.35">
      <c r="D395" s="8"/>
      <c r="F395" s="8"/>
      <c r="I395" s="8"/>
      <c r="J395" s="1">
        <v>132569</v>
      </c>
      <c r="K395" s="3" t="e">
        <f t="shared" si="76"/>
        <v>#VALUE!</v>
      </c>
      <c r="L395" s="8" t="e">
        <f t="shared" si="77"/>
        <v>#VALUE!</v>
      </c>
      <c r="M395" s="8" t="e">
        <f t="shared" si="78"/>
        <v>#VALUE!</v>
      </c>
      <c r="N395" s="3" t="e">
        <f t="shared" si="79"/>
        <v>#VALUE!</v>
      </c>
      <c r="O395" s="3" t="e">
        <f t="shared" si="80"/>
        <v>#VALUE!</v>
      </c>
      <c r="Q395" s="1">
        <v>132569</v>
      </c>
      <c r="T395" t="e">
        <f t="shared" si="82"/>
        <v>#VALUE!</v>
      </c>
      <c r="U395" t="e">
        <f t="shared" si="81"/>
        <v>#VALUE!</v>
      </c>
    </row>
    <row r="396" spans="4:21" x14ac:dyDescent="0.35">
      <c r="D396" s="8"/>
      <c r="F396" s="8"/>
      <c r="I396" s="8"/>
      <c r="J396" s="1">
        <v>198645</v>
      </c>
      <c r="K396" s="3" t="e">
        <f t="shared" si="76"/>
        <v>#VALUE!</v>
      </c>
      <c r="L396" s="8" t="e">
        <f t="shared" si="77"/>
        <v>#VALUE!</v>
      </c>
      <c r="M396" s="8" t="e">
        <f t="shared" si="78"/>
        <v>#VALUE!</v>
      </c>
      <c r="N396" s="3" t="e">
        <f t="shared" si="79"/>
        <v>#VALUE!</v>
      </c>
      <c r="O396" s="3" t="e">
        <f t="shared" si="80"/>
        <v>#VALUE!</v>
      </c>
      <c r="Q396" s="1">
        <v>198645</v>
      </c>
      <c r="T396" t="e">
        <f t="shared" si="82"/>
        <v>#VALUE!</v>
      </c>
      <c r="U396" t="e">
        <f t="shared" si="81"/>
        <v>#VALUE!</v>
      </c>
    </row>
    <row r="397" spans="4:21" x14ac:dyDescent="0.35">
      <c r="D397" s="8"/>
      <c r="F397" s="8"/>
      <c r="I397" s="8"/>
      <c r="J397" s="1">
        <v>116746</v>
      </c>
      <c r="K397" s="3" t="e">
        <f t="shared" si="76"/>
        <v>#VALUE!</v>
      </c>
      <c r="L397" s="8" t="e">
        <f t="shared" si="77"/>
        <v>#VALUE!</v>
      </c>
      <c r="M397" s="8" t="e">
        <f t="shared" si="78"/>
        <v>#VALUE!</v>
      </c>
      <c r="N397" s="3" t="e">
        <f t="shared" si="79"/>
        <v>#VALUE!</v>
      </c>
      <c r="O397" s="3" t="e">
        <f t="shared" si="80"/>
        <v>#VALUE!</v>
      </c>
      <c r="Q397" s="1">
        <v>116746</v>
      </c>
      <c r="T397" t="e">
        <f t="shared" si="82"/>
        <v>#VALUE!</v>
      </c>
      <c r="U397" t="e">
        <f t="shared" si="81"/>
        <v>#VALUE!</v>
      </c>
    </row>
    <row r="398" spans="4:21" x14ac:dyDescent="0.35">
      <c r="D398" s="8"/>
      <c r="F398" s="8"/>
      <c r="I398" s="8"/>
      <c r="J398" s="1">
        <v>112572</v>
      </c>
      <c r="K398" s="3" t="e">
        <f t="shared" si="76"/>
        <v>#VALUE!</v>
      </c>
      <c r="L398" s="8" t="e">
        <f t="shared" si="77"/>
        <v>#VALUE!</v>
      </c>
      <c r="M398" s="8" t="e">
        <f t="shared" si="78"/>
        <v>#VALUE!</v>
      </c>
      <c r="N398" s="3" t="e">
        <f t="shared" si="79"/>
        <v>#VALUE!</v>
      </c>
      <c r="O398" s="3" t="e">
        <f t="shared" si="80"/>
        <v>#VALUE!</v>
      </c>
      <c r="Q398" s="1">
        <v>112572</v>
      </c>
      <c r="T398" t="e">
        <f t="shared" si="82"/>
        <v>#VALUE!</v>
      </c>
      <c r="U398" t="e">
        <f t="shared" si="81"/>
        <v>#VALUE!</v>
      </c>
    </row>
    <row r="399" spans="4:21" x14ac:dyDescent="0.35">
      <c r="D399" s="8"/>
      <c r="F399" s="8"/>
      <c r="I399" s="8"/>
      <c r="J399" s="1">
        <v>309551</v>
      </c>
      <c r="K399" s="3" t="e">
        <f t="shared" si="76"/>
        <v>#VALUE!</v>
      </c>
      <c r="L399" s="8" t="e">
        <f t="shared" si="77"/>
        <v>#VALUE!</v>
      </c>
      <c r="M399" s="8" t="e">
        <f t="shared" si="78"/>
        <v>#VALUE!</v>
      </c>
      <c r="N399" s="3" t="e">
        <f t="shared" si="79"/>
        <v>#VALUE!</v>
      </c>
      <c r="O399" s="3" t="e">
        <f t="shared" si="80"/>
        <v>#VALUE!</v>
      </c>
      <c r="Q399" s="1">
        <v>309551</v>
      </c>
      <c r="T399" t="e">
        <f t="shared" si="82"/>
        <v>#VALUE!</v>
      </c>
      <c r="U399" t="e">
        <f t="shared" si="81"/>
        <v>#VALUE!</v>
      </c>
    </row>
    <row r="400" spans="4:21" x14ac:dyDescent="0.35">
      <c r="D400" s="8"/>
      <c r="F400" s="8"/>
      <c r="I400" s="8"/>
      <c r="J400" s="1">
        <v>344548</v>
      </c>
      <c r="K400" s="3" t="e">
        <f t="shared" si="76"/>
        <v>#VALUE!</v>
      </c>
      <c r="L400" s="8" t="e">
        <f t="shared" si="77"/>
        <v>#VALUE!</v>
      </c>
      <c r="M400" s="8" t="e">
        <f t="shared" si="78"/>
        <v>#VALUE!</v>
      </c>
      <c r="N400" s="3" t="e">
        <f t="shared" si="79"/>
        <v>#VALUE!</v>
      </c>
      <c r="O400" s="3" t="e">
        <f t="shared" si="80"/>
        <v>#VALUE!</v>
      </c>
      <c r="Q400" s="1">
        <v>344548</v>
      </c>
      <c r="T400" t="e">
        <f t="shared" si="82"/>
        <v>#VALUE!</v>
      </c>
      <c r="U400" t="e">
        <f t="shared" si="81"/>
        <v>#VALUE!</v>
      </c>
    </row>
    <row r="401" spans="4:21" x14ac:dyDescent="0.35">
      <c r="D401" s="8"/>
      <c r="F401" s="8"/>
      <c r="I401" s="8"/>
      <c r="J401" s="1">
        <v>160498</v>
      </c>
      <c r="K401" s="3" t="e">
        <f t="shared" si="76"/>
        <v>#VALUE!</v>
      </c>
      <c r="L401" s="8" t="e">
        <f t="shared" si="77"/>
        <v>#VALUE!</v>
      </c>
      <c r="M401" s="8" t="e">
        <f t="shared" si="78"/>
        <v>#VALUE!</v>
      </c>
      <c r="N401" s="3" t="e">
        <f t="shared" si="79"/>
        <v>#VALUE!</v>
      </c>
      <c r="O401" s="3" t="e">
        <f t="shared" si="80"/>
        <v>#VALUE!</v>
      </c>
      <c r="Q401" s="1">
        <v>160498</v>
      </c>
      <c r="T401" t="e">
        <f t="shared" si="82"/>
        <v>#VALUE!</v>
      </c>
      <c r="U401" t="e">
        <f t="shared" si="81"/>
        <v>#VALUE!</v>
      </c>
    </row>
    <row r="402" spans="4:21" x14ac:dyDescent="0.35">
      <c r="D402" s="8"/>
      <c r="F402" s="8"/>
      <c r="I402" s="8"/>
      <c r="J402" s="1">
        <v>81812</v>
      </c>
      <c r="K402" s="3" t="e">
        <f t="shared" si="76"/>
        <v>#VALUE!</v>
      </c>
      <c r="L402" s="8" t="e">
        <f t="shared" si="77"/>
        <v>#VALUE!</v>
      </c>
      <c r="M402" s="8" t="e">
        <f t="shared" si="78"/>
        <v>#VALUE!</v>
      </c>
      <c r="N402" s="3" t="e">
        <f t="shared" si="79"/>
        <v>#VALUE!</v>
      </c>
      <c r="O402" s="3" t="e">
        <f t="shared" si="80"/>
        <v>#VALUE!</v>
      </c>
      <c r="Q402" s="1">
        <v>81812</v>
      </c>
      <c r="T402" t="e">
        <f t="shared" si="82"/>
        <v>#VALUE!</v>
      </c>
      <c r="U402" t="e">
        <f t="shared" si="81"/>
        <v>#VALUE!</v>
      </c>
    </row>
    <row r="403" spans="4:21" x14ac:dyDescent="0.35">
      <c r="D403" s="8"/>
      <c r="F403" s="8"/>
      <c r="I403" s="8"/>
      <c r="J403" s="1">
        <v>283099</v>
      </c>
      <c r="K403" s="3" t="e">
        <f t="shared" si="76"/>
        <v>#VALUE!</v>
      </c>
      <c r="L403" s="8" t="e">
        <f t="shared" si="77"/>
        <v>#VALUE!</v>
      </c>
      <c r="M403" s="8" t="e">
        <f t="shared" si="78"/>
        <v>#VALUE!</v>
      </c>
      <c r="N403" s="3" t="e">
        <f t="shared" si="79"/>
        <v>#VALUE!</v>
      </c>
      <c r="O403" s="3" t="e">
        <f t="shared" si="80"/>
        <v>#VALUE!</v>
      </c>
      <c r="Q403" s="1">
        <v>283099</v>
      </c>
      <c r="T403" t="e">
        <f t="shared" si="82"/>
        <v>#VALUE!</v>
      </c>
      <c r="U403" t="e">
        <f t="shared" si="81"/>
        <v>#VALUE!</v>
      </c>
    </row>
    <row r="404" spans="4:21" x14ac:dyDescent="0.35">
      <c r="D404" s="8"/>
      <c r="F404" s="8"/>
      <c r="I404" s="8"/>
      <c r="J404" s="1">
        <v>147703</v>
      </c>
      <c r="K404" s="3" t="e">
        <f t="shared" si="76"/>
        <v>#VALUE!</v>
      </c>
      <c r="L404" s="8" t="e">
        <f t="shared" si="77"/>
        <v>#VALUE!</v>
      </c>
      <c r="M404" s="8" t="e">
        <f t="shared" si="78"/>
        <v>#VALUE!</v>
      </c>
      <c r="N404" s="3" t="e">
        <f t="shared" si="79"/>
        <v>#VALUE!</v>
      </c>
      <c r="O404" s="3" t="e">
        <f t="shared" si="80"/>
        <v>#VALUE!</v>
      </c>
      <c r="Q404" s="1">
        <v>147703</v>
      </c>
      <c r="T404" t="e">
        <f t="shared" si="82"/>
        <v>#VALUE!</v>
      </c>
      <c r="U404" t="e">
        <f t="shared" si="81"/>
        <v>#VALUE!</v>
      </c>
    </row>
    <row r="405" spans="4:21" x14ac:dyDescent="0.35">
      <c r="D405" s="8"/>
      <c r="F405" s="8"/>
      <c r="I405" s="8"/>
      <c r="J405" s="1">
        <v>249448</v>
      </c>
      <c r="K405" s="3" t="e">
        <f t="shared" si="76"/>
        <v>#VALUE!</v>
      </c>
      <c r="L405" s="8" t="e">
        <f t="shared" si="77"/>
        <v>#VALUE!</v>
      </c>
      <c r="M405" s="8" t="e">
        <f t="shared" si="78"/>
        <v>#VALUE!</v>
      </c>
      <c r="N405" s="3" t="e">
        <f t="shared" si="79"/>
        <v>#VALUE!</v>
      </c>
      <c r="O405" s="3" t="e">
        <f t="shared" si="80"/>
        <v>#VALUE!</v>
      </c>
      <c r="Q405" s="1">
        <v>249448</v>
      </c>
      <c r="T405" t="e">
        <f t="shared" si="82"/>
        <v>#VALUE!</v>
      </c>
      <c r="U405" t="e">
        <f t="shared" si="81"/>
        <v>#VALUE!</v>
      </c>
    </row>
    <row r="406" spans="4:21" x14ac:dyDescent="0.35">
      <c r="D406" s="8"/>
      <c r="F406" s="8"/>
      <c r="I406" s="8"/>
      <c r="J406" s="1">
        <v>180581</v>
      </c>
      <c r="K406" s="3" t="e">
        <f t="shared" si="76"/>
        <v>#VALUE!</v>
      </c>
      <c r="L406" s="8" t="e">
        <f t="shared" si="77"/>
        <v>#VALUE!</v>
      </c>
      <c r="M406" s="8" t="e">
        <f t="shared" si="78"/>
        <v>#VALUE!</v>
      </c>
      <c r="N406" s="3" t="e">
        <f t="shared" si="79"/>
        <v>#VALUE!</v>
      </c>
      <c r="O406" s="3" t="e">
        <f t="shared" si="80"/>
        <v>#VALUE!</v>
      </c>
      <c r="Q406" s="1">
        <v>180581</v>
      </c>
      <c r="T406" t="e">
        <f t="shared" si="82"/>
        <v>#VALUE!</v>
      </c>
      <c r="U406" t="e">
        <f t="shared" si="81"/>
        <v>#VALUE!</v>
      </c>
    </row>
    <row r="407" spans="4:21" x14ac:dyDescent="0.35">
      <c r="D407" s="8"/>
      <c r="F407" s="8"/>
      <c r="I407" s="8"/>
      <c r="J407" s="1">
        <v>362878</v>
      </c>
      <c r="K407" s="3" t="e">
        <f t="shared" si="76"/>
        <v>#VALUE!</v>
      </c>
      <c r="L407" s="8" t="e">
        <f t="shared" si="77"/>
        <v>#VALUE!</v>
      </c>
      <c r="M407" s="8" t="e">
        <f t="shared" si="78"/>
        <v>#VALUE!</v>
      </c>
      <c r="N407" s="3" t="e">
        <f t="shared" si="79"/>
        <v>#VALUE!</v>
      </c>
      <c r="O407" s="3" t="e">
        <f t="shared" si="80"/>
        <v>#VALUE!</v>
      </c>
      <c r="Q407" s="1">
        <v>362878</v>
      </c>
      <c r="T407" t="e">
        <f t="shared" si="82"/>
        <v>#VALUE!</v>
      </c>
      <c r="U407" t="e">
        <f t="shared" si="81"/>
        <v>#VALUE!</v>
      </c>
    </row>
    <row r="408" spans="4:21" x14ac:dyDescent="0.35">
      <c r="D408" s="8"/>
      <c r="F408" s="8"/>
      <c r="I408" s="8"/>
      <c r="J408" s="1">
        <v>160655</v>
      </c>
      <c r="K408" s="3" t="e">
        <f t="shared" si="76"/>
        <v>#VALUE!</v>
      </c>
      <c r="L408" s="8" t="e">
        <f t="shared" si="77"/>
        <v>#VALUE!</v>
      </c>
      <c r="M408" s="8" t="e">
        <f t="shared" si="78"/>
        <v>#VALUE!</v>
      </c>
      <c r="N408" s="3" t="e">
        <f t="shared" si="79"/>
        <v>#VALUE!</v>
      </c>
      <c r="O408" s="3" t="e">
        <f t="shared" si="80"/>
        <v>#VALUE!</v>
      </c>
      <c r="Q408" s="1">
        <v>160655</v>
      </c>
      <c r="T408" t="e">
        <f t="shared" si="82"/>
        <v>#VALUE!</v>
      </c>
      <c r="U408" t="e">
        <f t="shared" si="81"/>
        <v>#VALUE!</v>
      </c>
    </row>
    <row r="409" spans="4:21" x14ac:dyDescent="0.35">
      <c r="D409" s="8"/>
      <c r="F409" s="8"/>
      <c r="I409" s="8"/>
      <c r="J409" s="1">
        <v>231600</v>
      </c>
      <c r="K409" s="3" t="e">
        <f t="shared" si="76"/>
        <v>#VALUE!</v>
      </c>
      <c r="L409" s="8" t="e">
        <f t="shared" si="77"/>
        <v>#VALUE!</v>
      </c>
      <c r="M409" s="8" t="e">
        <f t="shared" si="78"/>
        <v>#VALUE!</v>
      </c>
      <c r="N409" s="3" t="e">
        <f t="shared" si="79"/>
        <v>#VALUE!</v>
      </c>
      <c r="O409" s="3" t="e">
        <f t="shared" si="80"/>
        <v>#VALUE!</v>
      </c>
      <c r="Q409" s="1">
        <v>231600</v>
      </c>
      <c r="T409" t="e">
        <f t="shared" si="82"/>
        <v>#VALUE!</v>
      </c>
      <c r="U409" t="e">
        <f t="shared" si="81"/>
        <v>#VALUE!</v>
      </c>
    </row>
    <row r="410" spans="4:21" x14ac:dyDescent="0.35">
      <c r="D410" s="8"/>
      <c r="F410" s="8"/>
      <c r="I410" s="8"/>
      <c r="J410" s="1">
        <v>188906</v>
      </c>
      <c r="K410" s="3" t="e">
        <f t="shared" si="76"/>
        <v>#VALUE!</v>
      </c>
      <c r="L410" s="8" t="e">
        <f t="shared" si="77"/>
        <v>#VALUE!</v>
      </c>
      <c r="M410" s="8" t="e">
        <f t="shared" si="78"/>
        <v>#VALUE!</v>
      </c>
      <c r="N410" s="3" t="e">
        <f t="shared" si="79"/>
        <v>#VALUE!</v>
      </c>
      <c r="O410" s="3" t="e">
        <f t="shared" si="80"/>
        <v>#VALUE!</v>
      </c>
      <c r="Q410" s="1">
        <v>188906</v>
      </c>
      <c r="T410" t="e">
        <f t="shared" si="82"/>
        <v>#VALUE!</v>
      </c>
      <c r="U410" t="e">
        <f t="shared" si="81"/>
        <v>#VALUE!</v>
      </c>
    </row>
    <row r="411" spans="4:21" x14ac:dyDescent="0.35">
      <c r="D411" s="8"/>
      <c r="F411" s="8"/>
      <c r="I411" s="8"/>
      <c r="J411" s="1">
        <v>158982</v>
      </c>
      <c r="K411" s="3" t="e">
        <f t="shared" si="76"/>
        <v>#VALUE!</v>
      </c>
      <c r="L411" s="8" t="e">
        <f t="shared" si="77"/>
        <v>#VALUE!</v>
      </c>
      <c r="M411" s="8" t="e">
        <f t="shared" si="78"/>
        <v>#VALUE!</v>
      </c>
      <c r="N411" s="3" t="e">
        <f t="shared" si="79"/>
        <v>#VALUE!</v>
      </c>
      <c r="O411" s="3" t="e">
        <f t="shared" si="80"/>
        <v>#VALUE!</v>
      </c>
      <c r="Q411" s="1">
        <v>158982</v>
      </c>
      <c r="T411" t="e">
        <f t="shared" si="82"/>
        <v>#VALUE!</v>
      </c>
      <c r="U411" t="e">
        <f t="shared" si="81"/>
        <v>#VALUE!</v>
      </c>
    </row>
    <row r="412" spans="4:21" x14ac:dyDescent="0.35">
      <c r="D412" s="8"/>
      <c r="F412" s="8"/>
      <c r="I412" s="8"/>
      <c r="J412" s="1">
        <v>225123</v>
      </c>
      <c r="K412" s="3" t="e">
        <f t="shared" si="76"/>
        <v>#VALUE!</v>
      </c>
      <c r="L412" s="8" t="e">
        <f t="shared" si="77"/>
        <v>#VALUE!</v>
      </c>
      <c r="M412" s="8" t="e">
        <f t="shared" si="78"/>
        <v>#VALUE!</v>
      </c>
      <c r="N412" s="3" t="e">
        <f t="shared" si="79"/>
        <v>#VALUE!</v>
      </c>
      <c r="O412" s="3" t="e">
        <f t="shared" si="80"/>
        <v>#VALUE!</v>
      </c>
      <c r="Q412" s="1">
        <v>225123</v>
      </c>
      <c r="T412" t="e">
        <f t="shared" si="82"/>
        <v>#VALUE!</v>
      </c>
      <c r="U412" t="e">
        <f t="shared" si="81"/>
        <v>#VALUE!</v>
      </c>
    </row>
    <row r="413" spans="4:21" x14ac:dyDescent="0.35">
      <c r="D413" s="8"/>
      <c r="F413" s="8"/>
      <c r="I413" s="8"/>
      <c r="J413" s="1">
        <v>111110</v>
      </c>
      <c r="K413" s="3" t="e">
        <f t="shared" si="76"/>
        <v>#VALUE!</v>
      </c>
      <c r="L413" s="8" t="e">
        <f t="shared" si="77"/>
        <v>#VALUE!</v>
      </c>
      <c r="M413" s="8" t="e">
        <f t="shared" si="78"/>
        <v>#VALUE!</v>
      </c>
      <c r="N413" s="3" t="e">
        <f t="shared" si="79"/>
        <v>#VALUE!</v>
      </c>
      <c r="O413" s="3" t="e">
        <f t="shared" si="80"/>
        <v>#VALUE!</v>
      </c>
      <c r="Q413" s="1">
        <v>111110</v>
      </c>
      <c r="T413" t="e">
        <f t="shared" si="82"/>
        <v>#VALUE!</v>
      </c>
      <c r="U413" t="e">
        <f t="shared" si="81"/>
        <v>#VALUE!</v>
      </c>
    </row>
    <row r="414" spans="4:21" x14ac:dyDescent="0.35">
      <c r="D414" s="8"/>
      <c r="F414" s="8"/>
      <c r="I414" s="8"/>
      <c r="J414" s="1">
        <v>165492</v>
      </c>
      <c r="K414" s="3" t="e">
        <f t="shared" si="76"/>
        <v>#VALUE!</v>
      </c>
      <c r="L414" s="8" t="e">
        <f t="shared" si="77"/>
        <v>#VALUE!</v>
      </c>
      <c r="M414" s="8" t="e">
        <f t="shared" si="78"/>
        <v>#VALUE!</v>
      </c>
      <c r="N414" s="3" t="e">
        <f t="shared" si="79"/>
        <v>#VALUE!</v>
      </c>
      <c r="O414" s="3" t="e">
        <f t="shared" si="80"/>
        <v>#VALUE!</v>
      </c>
      <c r="Q414" s="1">
        <v>165492</v>
      </c>
      <c r="T414" t="e">
        <f t="shared" si="82"/>
        <v>#VALUE!</v>
      </c>
      <c r="U414" t="e">
        <f t="shared" si="81"/>
        <v>#VALUE!</v>
      </c>
    </row>
    <row r="415" spans="4:21" x14ac:dyDescent="0.35">
      <c r="D415" s="8"/>
      <c r="F415" s="8"/>
      <c r="I415" s="8"/>
      <c r="J415" s="1">
        <v>245771</v>
      </c>
      <c r="K415" s="3" t="e">
        <f t="shared" si="76"/>
        <v>#VALUE!</v>
      </c>
      <c r="L415" s="8" t="e">
        <f t="shared" si="77"/>
        <v>#VALUE!</v>
      </c>
      <c r="M415" s="8" t="e">
        <f t="shared" si="78"/>
        <v>#VALUE!</v>
      </c>
      <c r="N415" s="3" t="e">
        <f t="shared" si="79"/>
        <v>#VALUE!</v>
      </c>
      <c r="O415" s="3" t="e">
        <f t="shared" si="80"/>
        <v>#VALUE!</v>
      </c>
      <c r="Q415" s="1">
        <v>245771</v>
      </c>
      <c r="T415" t="e">
        <f t="shared" si="82"/>
        <v>#VALUE!</v>
      </c>
      <c r="U415" t="e">
        <f t="shared" si="81"/>
        <v>#VALUE!</v>
      </c>
    </row>
    <row r="416" spans="4:21" x14ac:dyDescent="0.35">
      <c r="D416" s="8"/>
      <c r="F416" s="8"/>
      <c r="I416" s="8"/>
      <c r="J416" s="1">
        <v>162029</v>
      </c>
      <c r="K416" s="3" t="e">
        <f t="shared" si="76"/>
        <v>#VALUE!</v>
      </c>
      <c r="L416" s="8" t="e">
        <f t="shared" si="77"/>
        <v>#VALUE!</v>
      </c>
      <c r="M416" s="8" t="e">
        <f t="shared" si="78"/>
        <v>#VALUE!</v>
      </c>
      <c r="N416" s="3" t="e">
        <f t="shared" si="79"/>
        <v>#VALUE!</v>
      </c>
      <c r="O416" s="3" t="e">
        <f t="shared" si="80"/>
        <v>#VALUE!</v>
      </c>
      <c r="Q416" s="1">
        <v>162029</v>
      </c>
      <c r="T416" t="e">
        <f t="shared" si="82"/>
        <v>#VALUE!</v>
      </c>
      <c r="U416" t="e">
        <f t="shared" si="81"/>
        <v>#VALUE!</v>
      </c>
    </row>
    <row r="417" spans="4:21" x14ac:dyDescent="0.35">
      <c r="D417" s="8"/>
      <c r="F417" s="8"/>
      <c r="I417" s="8"/>
      <c r="J417" s="1">
        <v>264825</v>
      </c>
      <c r="K417" s="3" t="e">
        <f t="shared" si="76"/>
        <v>#VALUE!</v>
      </c>
      <c r="L417" s="8" t="e">
        <f t="shared" si="77"/>
        <v>#VALUE!</v>
      </c>
      <c r="M417" s="8" t="e">
        <f t="shared" si="78"/>
        <v>#VALUE!</v>
      </c>
      <c r="N417" s="3" t="e">
        <f t="shared" si="79"/>
        <v>#VALUE!</v>
      </c>
      <c r="O417" s="3" t="e">
        <f t="shared" si="80"/>
        <v>#VALUE!</v>
      </c>
      <c r="Q417" s="1">
        <v>264825</v>
      </c>
      <c r="T417" t="e">
        <f t="shared" si="82"/>
        <v>#VALUE!</v>
      </c>
      <c r="U417" t="e">
        <f t="shared" si="81"/>
        <v>#VALUE!</v>
      </c>
    </row>
    <row r="418" spans="4:21" x14ac:dyDescent="0.35">
      <c r="D418" s="8"/>
      <c r="F418" s="8"/>
      <c r="I418" s="8"/>
      <c r="J418" s="1">
        <v>203159</v>
      </c>
      <c r="K418" s="3" t="e">
        <f t="shared" si="76"/>
        <v>#VALUE!</v>
      </c>
      <c r="L418" s="8" t="e">
        <f t="shared" si="77"/>
        <v>#VALUE!</v>
      </c>
      <c r="M418" s="8" t="e">
        <f t="shared" si="78"/>
        <v>#VALUE!</v>
      </c>
      <c r="N418" s="3" t="e">
        <f t="shared" si="79"/>
        <v>#VALUE!</v>
      </c>
      <c r="O418" s="3" t="e">
        <f t="shared" si="80"/>
        <v>#VALUE!</v>
      </c>
      <c r="Q418" s="1">
        <v>203159</v>
      </c>
      <c r="T418" t="e">
        <f t="shared" si="82"/>
        <v>#VALUE!</v>
      </c>
      <c r="U418" t="e">
        <f t="shared" si="81"/>
        <v>#VALUE!</v>
      </c>
    </row>
    <row r="419" spans="4:21" x14ac:dyDescent="0.35">
      <c r="D419" s="8"/>
      <c r="F419" s="8"/>
      <c r="I419" s="8"/>
      <c r="J419" s="1">
        <v>189370</v>
      </c>
      <c r="K419" s="3" t="e">
        <f t="shared" si="76"/>
        <v>#VALUE!</v>
      </c>
      <c r="L419" s="8" t="e">
        <f t="shared" si="77"/>
        <v>#VALUE!</v>
      </c>
      <c r="M419" s="8" t="e">
        <f t="shared" si="78"/>
        <v>#VALUE!</v>
      </c>
      <c r="N419" s="3" t="e">
        <f t="shared" si="79"/>
        <v>#VALUE!</v>
      </c>
      <c r="O419" s="3" t="e">
        <f t="shared" si="80"/>
        <v>#VALUE!</v>
      </c>
      <c r="Q419" s="1">
        <v>189370</v>
      </c>
      <c r="T419" t="e">
        <f t="shared" si="82"/>
        <v>#VALUE!</v>
      </c>
      <c r="U419" t="e">
        <f t="shared" si="81"/>
        <v>#VALUE!</v>
      </c>
    </row>
    <row r="420" spans="4:21" x14ac:dyDescent="0.35">
      <c r="D420" s="8"/>
      <c r="F420" s="8"/>
      <c r="I420" s="8"/>
      <c r="J420" s="1">
        <v>128598</v>
      </c>
      <c r="K420" s="3" t="e">
        <f t="shared" si="76"/>
        <v>#VALUE!</v>
      </c>
      <c r="L420" s="8" t="e">
        <f t="shared" si="77"/>
        <v>#VALUE!</v>
      </c>
      <c r="M420" s="8" t="e">
        <f t="shared" si="78"/>
        <v>#VALUE!</v>
      </c>
      <c r="N420" s="3" t="e">
        <f t="shared" si="79"/>
        <v>#VALUE!</v>
      </c>
      <c r="O420" s="3" t="e">
        <f t="shared" si="80"/>
        <v>#VALUE!</v>
      </c>
      <c r="Q420" s="1">
        <v>128598</v>
      </c>
      <c r="T420" t="e">
        <f t="shared" si="82"/>
        <v>#VALUE!</v>
      </c>
      <c r="U420" t="e">
        <f t="shared" si="81"/>
        <v>#VALUE!</v>
      </c>
    </row>
    <row r="421" spans="4:21" x14ac:dyDescent="0.35">
      <c r="D421" s="8"/>
      <c r="F421" s="8"/>
      <c r="I421" s="8"/>
      <c r="J421" s="1">
        <v>403212</v>
      </c>
      <c r="K421" s="3" t="e">
        <f t="shared" si="76"/>
        <v>#VALUE!</v>
      </c>
      <c r="L421" s="8" t="e">
        <f t="shared" si="77"/>
        <v>#VALUE!</v>
      </c>
      <c r="M421" s="8" t="e">
        <f t="shared" si="78"/>
        <v>#VALUE!</v>
      </c>
      <c r="N421" s="3" t="e">
        <f t="shared" si="79"/>
        <v>#VALUE!</v>
      </c>
      <c r="O421" s="3" t="e">
        <f t="shared" si="80"/>
        <v>#VALUE!</v>
      </c>
      <c r="Q421" s="1">
        <v>403212</v>
      </c>
      <c r="T421" t="e">
        <f t="shared" si="82"/>
        <v>#VALUE!</v>
      </c>
      <c r="U421" t="e">
        <f t="shared" si="81"/>
        <v>#VALUE!</v>
      </c>
    </row>
    <row r="422" spans="4:21" x14ac:dyDescent="0.35">
      <c r="D422" s="8"/>
      <c r="F422" s="8"/>
      <c r="I422" s="8"/>
      <c r="J422" s="1">
        <v>338534</v>
      </c>
      <c r="K422" s="3" t="e">
        <f t="shared" si="76"/>
        <v>#VALUE!</v>
      </c>
      <c r="L422" s="8" t="e">
        <f t="shared" si="77"/>
        <v>#VALUE!</v>
      </c>
      <c r="M422" s="8" t="e">
        <f t="shared" si="78"/>
        <v>#VALUE!</v>
      </c>
      <c r="N422" s="3" t="e">
        <f t="shared" si="79"/>
        <v>#VALUE!</v>
      </c>
      <c r="O422" s="3" t="e">
        <f t="shared" si="80"/>
        <v>#VALUE!</v>
      </c>
      <c r="Q422" s="1">
        <v>338534</v>
      </c>
      <c r="T422" t="e">
        <f t="shared" si="82"/>
        <v>#VALUE!</v>
      </c>
      <c r="U422" t="e">
        <f t="shared" si="81"/>
        <v>#VALUE!</v>
      </c>
    </row>
    <row r="423" spans="4:21" x14ac:dyDescent="0.35">
      <c r="D423" s="8"/>
      <c r="F423" s="8"/>
      <c r="I423" s="8"/>
      <c r="J423" s="1">
        <v>93351</v>
      </c>
      <c r="K423" s="3" t="e">
        <f t="shared" si="76"/>
        <v>#VALUE!</v>
      </c>
      <c r="L423" s="8" t="e">
        <f t="shared" si="77"/>
        <v>#VALUE!</v>
      </c>
      <c r="M423" s="8" t="e">
        <f t="shared" si="78"/>
        <v>#VALUE!</v>
      </c>
      <c r="N423" s="3" t="e">
        <f t="shared" si="79"/>
        <v>#VALUE!</v>
      </c>
      <c r="O423" s="3" t="e">
        <f t="shared" si="80"/>
        <v>#VALUE!</v>
      </c>
      <c r="Q423" s="1">
        <v>93351</v>
      </c>
      <c r="T423" t="e">
        <f t="shared" si="82"/>
        <v>#VALUE!</v>
      </c>
      <c r="U423" t="e">
        <f t="shared" si="81"/>
        <v>#VALUE!</v>
      </c>
    </row>
    <row r="424" spans="4:21" x14ac:dyDescent="0.35">
      <c r="D424" s="8"/>
      <c r="F424" s="8"/>
      <c r="I424" s="8"/>
      <c r="J424" s="1">
        <v>162401</v>
      </c>
      <c r="K424" s="3" t="e">
        <f t="shared" si="76"/>
        <v>#VALUE!</v>
      </c>
      <c r="L424" s="8" t="e">
        <f t="shared" si="77"/>
        <v>#VALUE!</v>
      </c>
      <c r="M424" s="8" t="e">
        <f t="shared" si="78"/>
        <v>#VALUE!</v>
      </c>
      <c r="N424" s="3" t="e">
        <f t="shared" si="79"/>
        <v>#VALUE!</v>
      </c>
      <c r="O424" s="3" t="e">
        <f t="shared" si="80"/>
        <v>#VALUE!</v>
      </c>
      <c r="Q424" s="1">
        <v>162401</v>
      </c>
      <c r="T424" t="e">
        <f t="shared" si="82"/>
        <v>#VALUE!</v>
      </c>
      <c r="U424" t="e">
        <f t="shared" si="81"/>
        <v>#VALUE!</v>
      </c>
    </row>
    <row r="425" spans="4:21" x14ac:dyDescent="0.35">
      <c r="D425" s="8"/>
      <c r="F425" s="8"/>
      <c r="I425" s="8"/>
      <c r="J425" s="1">
        <v>144354</v>
      </c>
      <c r="K425" s="3" t="e">
        <f t="shared" si="76"/>
        <v>#VALUE!</v>
      </c>
      <c r="L425" s="8" t="e">
        <f t="shared" si="77"/>
        <v>#VALUE!</v>
      </c>
      <c r="M425" s="8" t="e">
        <f t="shared" si="78"/>
        <v>#VALUE!</v>
      </c>
      <c r="N425" s="3" t="e">
        <f t="shared" si="79"/>
        <v>#VALUE!</v>
      </c>
      <c r="O425" s="3" t="e">
        <f t="shared" si="80"/>
        <v>#VALUE!</v>
      </c>
      <c r="Q425" s="1">
        <v>144354</v>
      </c>
      <c r="T425" t="e">
        <f t="shared" si="82"/>
        <v>#VALUE!</v>
      </c>
      <c r="U425" t="e">
        <f t="shared" si="81"/>
        <v>#VALUE!</v>
      </c>
    </row>
    <row r="426" spans="4:21" x14ac:dyDescent="0.35">
      <c r="D426" s="8"/>
      <c r="F426" s="8"/>
      <c r="I426" s="8"/>
      <c r="J426" s="1">
        <v>217392</v>
      </c>
      <c r="K426" s="3" t="e">
        <f t="shared" si="76"/>
        <v>#VALUE!</v>
      </c>
      <c r="L426" s="8" t="e">
        <f t="shared" si="77"/>
        <v>#VALUE!</v>
      </c>
      <c r="M426" s="8" t="e">
        <f t="shared" si="78"/>
        <v>#VALUE!</v>
      </c>
      <c r="N426" s="3" t="e">
        <f t="shared" si="79"/>
        <v>#VALUE!</v>
      </c>
      <c r="O426" s="3" t="e">
        <f t="shared" si="80"/>
        <v>#VALUE!</v>
      </c>
      <c r="Q426" s="1">
        <v>217392</v>
      </c>
      <c r="T426" t="e">
        <f t="shared" si="82"/>
        <v>#VALUE!</v>
      </c>
      <c r="U426" t="e">
        <f t="shared" si="81"/>
        <v>#VALUE!</v>
      </c>
    </row>
    <row r="427" spans="4:21" x14ac:dyDescent="0.35">
      <c r="D427" s="8"/>
      <c r="F427" s="8"/>
      <c r="I427" s="8"/>
      <c r="J427" s="1">
        <v>119172</v>
      </c>
      <c r="K427" s="3" t="e">
        <f t="shared" si="76"/>
        <v>#VALUE!</v>
      </c>
      <c r="L427" s="8" t="e">
        <f t="shared" si="77"/>
        <v>#VALUE!</v>
      </c>
      <c r="M427" s="8" t="e">
        <f t="shared" si="78"/>
        <v>#VALUE!</v>
      </c>
      <c r="N427" s="3" t="e">
        <f t="shared" si="79"/>
        <v>#VALUE!</v>
      </c>
      <c r="O427" s="3" t="e">
        <f t="shared" si="80"/>
        <v>#VALUE!</v>
      </c>
      <c r="Q427" s="1">
        <v>119172</v>
      </c>
      <c r="T427" t="e">
        <f t="shared" si="82"/>
        <v>#VALUE!</v>
      </c>
      <c r="U427" t="e">
        <f t="shared" si="81"/>
        <v>#VALUE!</v>
      </c>
    </row>
    <row r="428" spans="4:21" x14ac:dyDescent="0.35">
      <c r="D428" s="8"/>
      <c r="F428" s="8"/>
      <c r="I428" s="8"/>
      <c r="J428" s="1">
        <v>151403</v>
      </c>
      <c r="K428" s="3" t="e">
        <f t="shared" si="76"/>
        <v>#VALUE!</v>
      </c>
      <c r="L428" s="8" t="e">
        <f t="shared" si="77"/>
        <v>#VALUE!</v>
      </c>
      <c r="M428" s="8" t="e">
        <f t="shared" si="78"/>
        <v>#VALUE!</v>
      </c>
      <c r="N428" s="3" t="e">
        <f t="shared" si="79"/>
        <v>#VALUE!</v>
      </c>
      <c r="O428" s="3" t="e">
        <f t="shared" si="80"/>
        <v>#VALUE!</v>
      </c>
      <c r="Q428" s="1">
        <v>151403</v>
      </c>
      <c r="T428" t="e">
        <f t="shared" si="82"/>
        <v>#VALUE!</v>
      </c>
      <c r="U428" t="e">
        <f t="shared" si="81"/>
        <v>#VALUE!</v>
      </c>
    </row>
    <row r="429" spans="4:21" x14ac:dyDescent="0.35">
      <c r="D429" s="8"/>
      <c r="F429" s="8"/>
      <c r="I429" s="8"/>
      <c r="J429" s="1">
        <v>105614</v>
      </c>
      <c r="K429" s="3" t="e">
        <f t="shared" si="76"/>
        <v>#VALUE!</v>
      </c>
      <c r="L429" s="8" t="e">
        <f t="shared" si="77"/>
        <v>#VALUE!</v>
      </c>
      <c r="M429" s="8" t="e">
        <f t="shared" si="78"/>
        <v>#VALUE!</v>
      </c>
      <c r="N429" s="3" t="e">
        <f t="shared" si="79"/>
        <v>#VALUE!</v>
      </c>
      <c r="O429" s="3" t="e">
        <f t="shared" si="80"/>
        <v>#VALUE!</v>
      </c>
      <c r="Q429" s="1">
        <v>105614</v>
      </c>
      <c r="T429" t="e">
        <f t="shared" si="82"/>
        <v>#VALUE!</v>
      </c>
      <c r="U429" t="e">
        <f t="shared" si="81"/>
        <v>#VALUE!</v>
      </c>
    </row>
    <row r="430" spans="4:21" x14ac:dyDescent="0.35">
      <c r="D430" s="8"/>
      <c r="F430" s="8"/>
      <c r="I430" s="8"/>
      <c r="J430" s="1">
        <v>158590</v>
      </c>
      <c r="K430" s="3" t="e">
        <f t="shared" si="76"/>
        <v>#VALUE!</v>
      </c>
      <c r="L430" s="8" t="e">
        <f t="shared" si="77"/>
        <v>#VALUE!</v>
      </c>
      <c r="M430" s="8" t="e">
        <f t="shared" si="78"/>
        <v>#VALUE!</v>
      </c>
      <c r="N430" s="3" t="e">
        <f t="shared" si="79"/>
        <v>#VALUE!</v>
      </c>
      <c r="O430" s="3" t="e">
        <f t="shared" si="80"/>
        <v>#VALUE!</v>
      </c>
      <c r="Q430" s="1">
        <v>158590</v>
      </c>
      <c r="T430" t="e">
        <f t="shared" si="82"/>
        <v>#VALUE!</v>
      </c>
      <c r="U430" t="e">
        <f t="shared" si="81"/>
        <v>#VALUE!</v>
      </c>
    </row>
    <row r="431" spans="4:21" x14ac:dyDescent="0.35">
      <c r="D431" s="8"/>
      <c r="F431" s="8"/>
      <c r="I431" s="8"/>
      <c r="J431" s="1">
        <v>194323</v>
      </c>
      <c r="K431" s="3" t="e">
        <f t="shared" si="76"/>
        <v>#VALUE!</v>
      </c>
      <c r="L431" s="8" t="e">
        <f t="shared" si="77"/>
        <v>#VALUE!</v>
      </c>
      <c r="M431" s="8" t="e">
        <f t="shared" si="78"/>
        <v>#VALUE!</v>
      </c>
      <c r="N431" s="3" t="e">
        <f t="shared" si="79"/>
        <v>#VALUE!</v>
      </c>
      <c r="O431" s="3" t="e">
        <f t="shared" si="80"/>
        <v>#VALUE!</v>
      </c>
      <c r="Q431" s="1">
        <v>194323</v>
      </c>
      <c r="T431" t="e">
        <f t="shared" si="82"/>
        <v>#VALUE!</v>
      </c>
      <c r="U431" t="e">
        <f t="shared" si="81"/>
        <v>#VALUE!</v>
      </c>
    </row>
    <row r="432" spans="4:21" x14ac:dyDescent="0.35">
      <c r="D432" s="8"/>
      <c r="F432" s="8"/>
      <c r="I432" s="8"/>
      <c r="J432" s="1">
        <v>57786</v>
      </c>
      <c r="K432" s="3" t="e">
        <f t="shared" si="76"/>
        <v>#VALUE!</v>
      </c>
      <c r="L432" s="8" t="e">
        <f t="shared" si="77"/>
        <v>#VALUE!</v>
      </c>
      <c r="M432" s="8" t="e">
        <f t="shared" si="78"/>
        <v>#VALUE!</v>
      </c>
      <c r="N432" s="3" t="e">
        <f t="shared" si="79"/>
        <v>#VALUE!</v>
      </c>
      <c r="O432" s="3" t="e">
        <f t="shared" si="80"/>
        <v>#VALUE!</v>
      </c>
      <c r="Q432" s="1">
        <v>57786</v>
      </c>
      <c r="T432" t="e">
        <f t="shared" si="82"/>
        <v>#VALUE!</v>
      </c>
      <c r="U432" t="e">
        <f t="shared" si="81"/>
        <v>#VALUE!</v>
      </c>
    </row>
    <row r="433" spans="4:21" x14ac:dyDescent="0.35">
      <c r="D433" s="8"/>
      <c r="F433" s="8"/>
      <c r="I433" s="8"/>
      <c r="J433" s="1">
        <v>166932</v>
      </c>
      <c r="K433" s="3" t="e">
        <f t="shared" si="76"/>
        <v>#VALUE!</v>
      </c>
      <c r="L433" s="8" t="e">
        <f t="shared" si="77"/>
        <v>#VALUE!</v>
      </c>
      <c r="M433" s="8" t="e">
        <f t="shared" si="78"/>
        <v>#VALUE!</v>
      </c>
      <c r="N433" s="3" t="e">
        <f t="shared" si="79"/>
        <v>#VALUE!</v>
      </c>
      <c r="O433" s="3" t="e">
        <f t="shared" si="80"/>
        <v>#VALUE!</v>
      </c>
      <c r="Q433" s="1">
        <v>166932</v>
      </c>
      <c r="T433" t="e">
        <f t="shared" si="82"/>
        <v>#VALUE!</v>
      </c>
      <c r="U433" t="e">
        <f t="shared" si="81"/>
        <v>#VALUE!</v>
      </c>
    </row>
    <row r="434" spans="4:21" x14ac:dyDescent="0.35">
      <c r="D434" s="8"/>
      <c r="F434" s="8"/>
      <c r="I434" s="8"/>
      <c r="J434" s="1">
        <v>332552</v>
      </c>
      <c r="K434" s="3" t="e">
        <f t="shared" si="76"/>
        <v>#VALUE!</v>
      </c>
      <c r="L434" s="8" t="e">
        <f t="shared" si="77"/>
        <v>#VALUE!</v>
      </c>
      <c r="M434" s="8" t="e">
        <f t="shared" si="78"/>
        <v>#VALUE!</v>
      </c>
      <c r="N434" s="3" t="e">
        <f t="shared" si="79"/>
        <v>#VALUE!</v>
      </c>
      <c r="O434" s="3" t="e">
        <f t="shared" si="80"/>
        <v>#VALUE!</v>
      </c>
      <c r="Q434" s="1">
        <v>332552</v>
      </c>
      <c r="T434" t="e">
        <f t="shared" si="82"/>
        <v>#VALUE!</v>
      </c>
      <c r="U434" t="e">
        <f t="shared" si="81"/>
        <v>#VALUE!</v>
      </c>
    </row>
    <row r="435" spans="4:21" x14ac:dyDescent="0.35">
      <c r="D435" s="8"/>
      <c r="F435" s="8"/>
      <c r="I435" s="8"/>
      <c r="J435" s="1">
        <v>233760</v>
      </c>
      <c r="K435" s="3" t="e">
        <f t="shared" si="76"/>
        <v>#VALUE!</v>
      </c>
      <c r="L435" s="8" t="e">
        <f t="shared" si="77"/>
        <v>#VALUE!</v>
      </c>
      <c r="M435" s="8" t="e">
        <f t="shared" si="78"/>
        <v>#VALUE!</v>
      </c>
      <c r="N435" s="3" t="e">
        <f t="shared" si="79"/>
        <v>#VALUE!</v>
      </c>
      <c r="O435" s="3" t="e">
        <f t="shared" si="80"/>
        <v>#VALUE!</v>
      </c>
      <c r="Q435" s="1">
        <v>233760</v>
      </c>
      <c r="T435" t="e">
        <f t="shared" si="82"/>
        <v>#VALUE!</v>
      </c>
      <c r="U435" t="e">
        <f t="shared" si="81"/>
        <v>#VALUE!</v>
      </c>
    </row>
    <row r="436" spans="4:21" x14ac:dyDescent="0.35">
      <c r="D436" s="8"/>
      <c r="F436" s="8"/>
      <c r="I436" s="8"/>
      <c r="J436" s="1">
        <v>216481</v>
      </c>
      <c r="K436" s="3" t="e">
        <f t="shared" si="76"/>
        <v>#VALUE!</v>
      </c>
      <c r="L436" s="8" t="e">
        <f t="shared" si="77"/>
        <v>#VALUE!</v>
      </c>
      <c r="M436" s="8" t="e">
        <f t="shared" si="78"/>
        <v>#VALUE!</v>
      </c>
      <c r="N436" s="3" t="e">
        <f t="shared" si="79"/>
        <v>#VALUE!</v>
      </c>
      <c r="O436" s="3" t="e">
        <f t="shared" si="80"/>
        <v>#VALUE!</v>
      </c>
      <c r="Q436" s="1">
        <v>216481</v>
      </c>
      <c r="T436" t="e">
        <f t="shared" si="82"/>
        <v>#VALUE!</v>
      </c>
      <c r="U436" t="e">
        <f t="shared" si="81"/>
        <v>#VALUE!</v>
      </c>
    </row>
    <row r="437" spans="4:21" x14ac:dyDescent="0.35">
      <c r="D437" s="8"/>
      <c r="F437" s="8"/>
      <c r="I437" s="8"/>
      <c r="J437" s="1">
        <v>199994</v>
      </c>
      <c r="K437" s="3" t="e">
        <f t="shared" si="76"/>
        <v>#VALUE!</v>
      </c>
      <c r="L437" s="8" t="e">
        <f t="shared" si="77"/>
        <v>#VALUE!</v>
      </c>
      <c r="M437" s="8" t="e">
        <f t="shared" si="78"/>
        <v>#VALUE!</v>
      </c>
      <c r="N437" s="3" t="e">
        <f t="shared" si="79"/>
        <v>#VALUE!</v>
      </c>
      <c r="O437" s="3" t="e">
        <f t="shared" si="80"/>
        <v>#VALUE!</v>
      </c>
      <c r="Q437" s="1">
        <v>199994</v>
      </c>
      <c r="T437" t="e">
        <f t="shared" si="82"/>
        <v>#VALUE!</v>
      </c>
      <c r="U437" t="e">
        <f t="shared" si="81"/>
        <v>#VALUE!</v>
      </c>
    </row>
    <row r="438" spans="4:21" x14ac:dyDescent="0.35">
      <c r="D438" s="8"/>
      <c r="F438" s="8"/>
      <c r="I438" s="8"/>
      <c r="J438" s="1">
        <v>164241</v>
      </c>
      <c r="K438" s="3" t="e">
        <f t="shared" si="76"/>
        <v>#VALUE!</v>
      </c>
      <c r="L438" s="8" t="e">
        <f t="shared" si="77"/>
        <v>#VALUE!</v>
      </c>
      <c r="M438" s="8" t="e">
        <f t="shared" si="78"/>
        <v>#VALUE!</v>
      </c>
      <c r="N438" s="3" t="e">
        <f t="shared" si="79"/>
        <v>#VALUE!</v>
      </c>
      <c r="O438" s="3" t="e">
        <f t="shared" si="80"/>
        <v>#VALUE!</v>
      </c>
      <c r="Q438" s="1">
        <v>164241</v>
      </c>
      <c r="T438" t="e">
        <f t="shared" si="82"/>
        <v>#VALUE!</v>
      </c>
      <c r="U438" t="e">
        <f t="shared" si="81"/>
        <v>#VALUE!</v>
      </c>
    </row>
    <row r="439" spans="4:21" x14ac:dyDescent="0.35">
      <c r="D439" s="8"/>
      <c r="F439" s="8"/>
      <c r="I439" s="8"/>
      <c r="J439" s="1">
        <v>133853</v>
      </c>
      <c r="K439" s="3" t="e">
        <f t="shared" si="76"/>
        <v>#VALUE!</v>
      </c>
      <c r="L439" s="8" t="e">
        <f t="shared" si="77"/>
        <v>#VALUE!</v>
      </c>
      <c r="M439" s="8" t="e">
        <f t="shared" si="78"/>
        <v>#VALUE!</v>
      </c>
      <c r="N439" s="3" t="e">
        <f t="shared" si="79"/>
        <v>#VALUE!</v>
      </c>
      <c r="O439" s="3" t="e">
        <f t="shared" si="80"/>
        <v>#VALUE!</v>
      </c>
      <c r="Q439" s="1">
        <v>133853</v>
      </c>
      <c r="T439" t="e">
        <f t="shared" si="82"/>
        <v>#VALUE!</v>
      </c>
      <c r="U439" t="e">
        <f t="shared" si="81"/>
        <v>#VALUE!</v>
      </c>
    </row>
    <row r="440" spans="4:21" x14ac:dyDescent="0.35">
      <c r="D440" s="8"/>
      <c r="F440" s="8"/>
      <c r="I440" s="8"/>
      <c r="J440" s="1">
        <v>150565</v>
      </c>
      <c r="K440" s="3" t="e">
        <f t="shared" si="76"/>
        <v>#VALUE!</v>
      </c>
      <c r="L440" s="8" t="e">
        <f t="shared" si="77"/>
        <v>#VALUE!</v>
      </c>
      <c r="M440" s="8" t="e">
        <f t="shared" si="78"/>
        <v>#VALUE!</v>
      </c>
      <c r="N440" s="3" t="e">
        <f t="shared" si="79"/>
        <v>#VALUE!</v>
      </c>
      <c r="O440" s="3" t="e">
        <f t="shared" si="80"/>
        <v>#VALUE!</v>
      </c>
      <c r="Q440" s="1">
        <v>150565</v>
      </c>
      <c r="T440" t="e">
        <f t="shared" si="82"/>
        <v>#VALUE!</v>
      </c>
      <c r="U440" t="e">
        <f t="shared" si="81"/>
        <v>#VALUE!</v>
      </c>
    </row>
    <row r="441" spans="4:21" x14ac:dyDescent="0.35">
      <c r="D441" s="8"/>
      <c r="F441" s="8"/>
      <c r="I441" s="8"/>
      <c r="J441" s="1">
        <v>194009</v>
      </c>
      <c r="K441" s="3" t="e">
        <f t="shared" si="76"/>
        <v>#VALUE!</v>
      </c>
      <c r="L441" s="8" t="e">
        <f t="shared" si="77"/>
        <v>#VALUE!</v>
      </c>
      <c r="M441" s="8" t="e">
        <f t="shared" si="78"/>
        <v>#VALUE!</v>
      </c>
      <c r="N441" s="3" t="e">
        <f t="shared" si="79"/>
        <v>#VALUE!</v>
      </c>
      <c r="O441" s="3" t="e">
        <f t="shared" si="80"/>
        <v>#VALUE!</v>
      </c>
      <c r="Q441" s="1">
        <v>194009</v>
      </c>
      <c r="T441" t="e">
        <f t="shared" si="82"/>
        <v>#VALUE!</v>
      </c>
      <c r="U441" t="e">
        <f t="shared" si="81"/>
        <v>#VALUE!</v>
      </c>
    </row>
    <row r="442" spans="4:21" x14ac:dyDescent="0.35">
      <c r="D442" s="8"/>
      <c r="F442" s="8"/>
      <c r="I442" s="8"/>
      <c r="J442" s="1">
        <v>279559</v>
      </c>
      <c r="K442" s="3" t="e">
        <f t="shared" si="76"/>
        <v>#VALUE!</v>
      </c>
      <c r="L442" s="8" t="e">
        <f t="shared" si="77"/>
        <v>#VALUE!</v>
      </c>
      <c r="M442" s="8" t="e">
        <f t="shared" si="78"/>
        <v>#VALUE!</v>
      </c>
      <c r="N442" s="3" t="e">
        <f t="shared" si="79"/>
        <v>#VALUE!</v>
      </c>
      <c r="O442" s="3" t="e">
        <f t="shared" si="80"/>
        <v>#VALUE!</v>
      </c>
      <c r="Q442" s="1">
        <v>279559</v>
      </c>
      <c r="T442" t="e">
        <f t="shared" si="82"/>
        <v>#VALUE!</v>
      </c>
      <c r="U442" t="e">
        <f t="shared" si="81"/>
        <v>#VALUE!</v>
      </c>
    </row>
    <row r="443" spans="4:21" x14ac:dyDescent="0.35">
      <c r="D443" s="8"/>
      <c r="F443" s="8"/>
      <c r="I443" s="8"/>
      <c r="J443" s="1">
        <v>118451</v>
      </c>
      <c r="K443" s="3" t="e">
        <f t="shared" si="76"/>
        <v>#VALUE!</v>
      </c>
      <c r="L443" s="8" t="e">
        <f t="shared" si="77"/>
        <v>#VALUE!</v>
      </c>
      <c r="M443" s="8" t="e">
        <f t="shared" si="78"/>
        <v>#VALUE!</v>
      </c>
      <c r="N443" s="3" t="e">
        <f t="shared" si="79"/>
        <v>#VALUE!</v>
      </c>
      <c r="O443" s="3" t="e">
        <f t="shared" si="80"/>
        <v>#VALUE!</v>
      </c>
      <c r="Q443" s="1">
        <v>118451</v>
      </c>
      <c r="T443" t="e">
        <f t="shared" si="82"/>
        <v>#VALUE!</v>
      </c>
      <c r="U443" t="e">
        <f t="shared" si="81"/>
        <v>#VALUE!</v>
      </c>
    </row>
    <row r="444" spans="4:21" x14ac:dyDescent="0.35">
      <c r="D444" s="8"/>
      <c r="F444" s="8"/>
      <c r="I444" s="8"/>
      <c r="J444" s="1">
        <v>229241</v>
      </c>
      <c r="K444" s="3" t="e">
        <f t="shared" si="76"/>
        <v>#VALUE!</v>
      </c>
      <c r="L444" s="8" t="e">
        <f t="shared" si="77"/>
        <v>#VALUE!</v>
      </c>
      <c r="M444" s="8" t="e">
        <f t="shared" si="78"/>
        <v>#VALUE!</v>
      </c>
      <c r="N444" s="3" t="e">
        <f t="shared" si="79"/>
        <v>#VALUE!</v>
      </c>
      <c r="O444" s="3" t="e">
        <f t="shared" si="80"/>
        <v>#VALUE!</v>
      </c>
      <c r="Q444" s="1">
        <v>229241</v>
      </c>
      <c r="T444" t="e">
        <f t="shared" si="82"/>
        <v>#VALUE!</v>
      </c>
      <c r="U444" t="e">
        <f t="shared" si="81"/>
        <v>#VALUE!</v>
      </c>
    </row>
    <row r="445" spans="4:21" x14ac:dyDescent="0.35">
      <c r="D445" s="8"/>
      <c r="F445" s="8"/>
      <c r="I445" s="8"/>
      <c r="J445" s="1">
        <v>61589</v>
      </c>
      <c r="K445" s="3" t="e">
        <f t="shared" si="76"/>
        <v>#VALUE!</v>
      </c>
      <c r="L445" s="8" t="e">
        <f t="shared" si="77"/>
        <v>#VALUE!</v>
      </c>
      <c r="M445" s="8" t="e">
        <f t="shared" si="78"/>
        <v>#VALUE!</v>
      </c>
      <c r="N445" s="3" t="e">
        <f t="shared" si="79"/>
        <v>#VALUE!</v>
      </c>
      <c r="O445" s="3" t="e">
        <f t="shared" si="80"/>
        <v>#VALUE!</v>
      </c>
      <c r="Q445" s="1">
        <v>61589</v>
      </c>
      <c r="T445" t="e">
        <f t="shared" si="82"/>
        <v>#VALUE!</v>
      </c>
      <c r="U445" t="e">
        <f t="shared" si="81"/>
        <v>#VALUE!</v>
      </c>
    </row>
    <row r="446" spans="4:21" x14ac:dyDescent="0.35">
      <c r="D446" s="8"/>
      <c r="F446" s="8"/>
      <c r="I446" s="8"/>
      <c r="J446" s="1">
        <v>84725</v>
      </c>
      <c r="K446" s="3" t="e">
        <f t="shared" si="76"/>
        <v>#VALUE!</v>
      </c>
      <c r="L446" s="8" t="e">
        <f t="shared" si="77"/>
        <v>#VALUE!</v>
      </c>
      <c r="M446" s="8" t="e">
        <f t="shared" si="78"/>
        <v>#VALUE!</v>
      </c>
      <c r="N446" s="3" t="e">
        <f t="shared" si="79"/>
        <v>#VALUE!</v>
      </c>
      <c r="O446" s="3" t="e">
        <f t="shared" si="80"/>
        <v>#VALUE!</v>
      </c>
      <c r="Q446" s="1">
        <v>84725</v>
      </c>
      <c r="T446" t="e">
        <f t="shared" si="82"/>
        <v>#VALUE!</v>
      </c>
      <c r="U446" t="e">
        <f t="shared" si="81"/>
        <v>#VALUE!</v>
      </c>
    </row>
    <row r="447" spans="4:21" x14ac:dyDescent="0.35">
      <c r="D447" s="8"/>
      <c r="F447" s="8"/>
      <c r="I447" s="8"/>
      <c r="J447" s="1">
        <v>325312</v>
      </c>
      <c r="K447" s="3" t="e">
        <f t="shared" si="76"/>
        <v>#VALUE!</v>
      </c>
      <c r="L447" s="8" t="e">
        <f t="shared" si="77"/>
        <v>#VALUE!</v>
      </c>
      <c r="M447" s="8" t="e">
        <f t="shared" si="78"/>
        <v>#VALUE!</v>
      </c>
      <c r="N447" s="3" t="e">
        <f t="shared" si="79"/>
        <v>#VALUE!</v>
      </c>
      <c r="O447" s="3" t="e">
        <f t="shared" si="80"/>
        <v>#VALUE!</v>
      </c>
      <c r="Q447" s="1">
        <v>325312</v>
      </c>
      <c r="T447" t="e">
        <f t="shared" si="82"/>
        <v>#VALUE!</v>
      </c>
      <c r="U447" t="e">
        <f t="shared" si="81"/>
        <v>#VALUE!</v>
      </c>
    </row>
    <row r="448" spans="4:21" x14ac:dyDescent="0.35">
      <c r="D448" s="8"/>
      <c r="F448" s="8"/>
      <c r="I448" s="8"/>
      <c r="J448" s="1">
        <v>189478</v>
      </c>
      <c r="K448" s="3" t="e">
        <f t="shared" si="76"/>
        <v>#VALUE!</v>
      </c>
      <c r="L448" s="8" t="e">
        <f t="shared" si="77"/>
        <v>#VALUE!</v>
      </c>
      <c r="M448" s="8" t="e">
        <f t="shared" si="78"/>
        <v>#VALUE!</v>
      </c>
      <c r="N448" s="3" t="e">
        <f t="shared" si="79"/>
        <v>#VALUE!</v>
      </c>
      <c r="O448" s="3" t="e">
        <f t="shared" si="80"/>
        <v>#VALUE!</v>
      </c>
      <c r="Q448" s="1">
        <v>189478</v>
      </c>
      <c r="T448" t="e">
        <f t="shared" si="82"/>
        <v>#VALUE!</v>
      </c>
      <c r="U448" t="e">
        <f t="shared" si="81"/>
        <v>#VALUE!</v>
      </c>
    </row>
    <row r="449" spans="4:21" x14ac:dyDescent="0.35">
      <c r="D449" s="8"/>
      <c r="F449" s="8"/>
      <c r="I449" s="8"/>
      <c r="J449" s="1">
        <v>158136</v>
      </c>
      <c r="K449" s="3" t="e">
        <f t="shared" si="76"/>
        <v>#VALUE!</v>
      </c>
      <c r="L449" s="8" t="e">
        <f t="shared" si="77"/>
        <v>#VALUE!</v>
      </c>
      <c r="M449" s="8" t="e">
        <f t="shared" si="78"/>
        <v>#VALUE!</v>
      </c>
      <c r="N449" s="3" t="e">
        <f t="shared" si="79"/>
        <v>#VALUE!</v>
      </c>
      <c r="O449" s="3" t="e">
        <f t="shared" si="80"/>
        <v>#VALUE!</v>
      </c>
      <c r="Q449" s="1">
        <v>158136</v>
      </c>
      <c r="T449" t="e">
        <f t="shared" si="82"/>
        <v>#VALUE!</v>
      </c>
      <c r="U449" t="e">
        <f t="shared" si="81"/>
        <v>#VALUE!</v>
      </c>
    </row>
    <row r="450" spans="4:21" x14ac:dyDescent="0.35">
      <c r="D450" s="8"/>
      <c r="F450" s="8"/>
      <c r="I450" s="8"/>
      <c r="J450" s="1">
        <v>165195</v>
      </c>
      <c r="K450" s="3" t="e">
        <f t="shared" si="76"/>
        <v>#VALUE!</v>
      </c>
      <c r="L450" s="8" t="e">
        <f t="shared" si="77"/>
        <v>#N/A</v>
      </c>
      <c r="M450" s="8" t="e">
        <f t="shared" si="78"/>
        <v>#VALUE!</v>
      </c>
      <c r="N450" s="3" t="e">
        <f t="shared" si="79"/>
        <v>#VALUE!</v>
      </c>
      <c r="O450" s="3">
        <f t="shared" si="80"/>
        <v>1</v>
      </c>
      <c r="Q450" s="1">
        <v>165195</v>
      </c>
      <c r="T450" t="e">
        <f t="shared" si="82"/>
        <v>#VALUE!</v>
      </c>
      <c r="U450" t="e">
        <f t="shared" si="81"/>
        <v>#VALUE!</v>
      </c>
    </row>
    <row r="451" spans="4:21" x14ac:dyDescent="0.35">
      <c r="D451" s="8"/>
      <c r="F451" s="8"/>
      <c r="I451" s="8"/>
      <c r="J451" s="1">
        <v>240106</v>
      </c>
      <c r="K451" s="3" t="e">
        <f t="shared" ref="K451" si="83">$X$22</f>
        <v>#VALUE!</v>
      </c>
      <c r="L451" s="8" t="e">
        <f t="shared" ref="L451" si="84">VLOOKUP(O451,$Z$2:$AA$5,2,FALSE)</f>
        <v>#N/A</v>
      </c>
      <c r="M451" s="8" t="e">
        <f t="shared" ref="M451" si="85">VLOOKUP(N451,$Z$8:$AA$10,2,FALSE)</f>
        <v>#N/A</v>
      </c>
      <c r="N451" s="3">
        <f t="shared" ref="N451" si="86">VALUE(MID(U451,(5-MOD(A451,3)),1))</f>
        <v>1</v>
      </c>
      <c r="O451" s="3">
        <f t="shared" ref="O451" si="87">N452+N453</f>
        <v>0</v>
      </c>
      <c r="Q451" s="1">
        <v>240106</v>
      </c>
      <c r="T451">
        <v>511</v>
      </c>
      <c r="U451" t="str">
        <f t="shared" ref="U451" si="88">DEC2BIN(T451)</f>
        <v>111111111</v>
      </c>
    </row>
  </sheetData>
  <sortState xmlns:xlrd2="http://schemas.microsoft.com/office/spreadsheetml/2017/richdata2" ref="A2:M28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8C4D-E41A-9E41-B945-BEF60BC394D6}">
  <dimension ref="A1:C451"/>
  <sheetViews>
    <sheetView workbookViewId="0">
      <selection activeCell="C19" sqref="C19"/>
    </sheetView>
  </sheetViews>
  <sheetFormatPr baseColWidth="10" defaultColWidth="11" defaultRowHeight="15.5" x14ac:dyDescent="0.35"/>
  <cols>
    <col min="1" max="1" width="4.08203125" customWidth="1"/>
    <col min="2" max="2" width="14" bestFit="1" customWidth="1"/>
    <col min="3" max="3" width="21.08203125" bestFit="1" customWidth="1"/>
  </cols>
  <sheetData>
    <row r="1" spans="1:3" x14ac:dyDescent="0.35">
      <c r="A1" s="8" t="s">
        <v>44</v>
      </c>
      <c r="B1" s="8" t="s">
        <v>95</v>
      </c>
      <c r="C1" s="8" t="s">
        <v>97</v>
      </c>
    </row>
    <row r="2" spans="1:3" x14ac:dyDescent="0.35">
      <c r="A2" s="3">
        <v>1</v>
      </c>
      <c r="B2" s="3" t="e">
        <f>'BD01'!L2</f>
        <v>#VALUE!</v>
      </c>
      <c r="C2" s="15" t="e">
        <f>'BD01'!M2</f>
        <v>#VALUE!</v>
      </c>
    </row>
    <row r="3" spans="1:3" x14ac:dyDescent="0.35">
      <c r="A3" s="3">
        <v>2</v>
      </c>
      <c r="B3" s="3" t="e">
        <f>'BD01'!L3</f>
        <v>#VALUE!</v>
      </c>
      <c r="C3" s="15" t="e">
        <f>'BD01'!M3</f>
        <v>#VALUE!</v>
      </c>
    </row>
    <row r="4" spans="1:3" x14ac:dyDescent="0.35">
      <c r="A4" s="3">
        <v>3</v>
      </c>
      <c r="B4" s="3" t="e">
        <f>'BD01'!L4</f>
        <v>#VALUE!</v>
      </c>
      <c r="C4" s="15" t="e">
        <f>'BD01'!M4</f>
        <v>#VALUE!</v>
      </c>
    </row>
    <row r="5" spans="1:3" x14ac:dyDescent="0.35">
      <c r="A5" s="3">
        <v>4</v>
      </c>
      <c r="B5" s="3" t="e">
        <f>'BD01'!L5</f>
        <v>#VALUE!</v>
      </c>
      <c r="C5" s="15" t="e">
        <f>'BD01'!M5</f>
        <v>#VALUE!</v>
      </c>
    </row>
    <row r="6" spans="1:3" x14ac:dyDescent="0.35">
      <c r="A6" s="3">
        <v>5</v>
      </c>
      <c r="B6" s="3" t="e">
        <f>'BD01'!L6</f>
        <v>#VALUE!</v>
      </c>
      <c r="C6" s="15" t="e">
        <f>'BD01'!M6</f>
        <v>#VALUE!</v>
      </c>
    </row>
    <row r="7" spans="1:3" x14ac:dyDescent="0.35">
      <c r="A7" s="3">
        <v>6</v>
      </c>
      <c r="B7" s="3" t="e">
        <f>'BD01'!L7</f>
        <v>#VALUE!</v>
      </c>
      <c r="C7" s="15" t="e">
        <f>'BD01'!M7</f>
        <v>#VALUE!</v>
      </c>
    </row>
    <row r="8" spans="1:3" x14ac:dyDescent="0.35">
      <c r="A8" s="3">
        <v>7</v>
      </c>
      <c r="B8" s="3" t="e">
        <f>'BD01'!L8</f>
        <v>#VALUE!</v>
      </c>
      <c r="C8" s="15" t="e">
        <f>'BD01'!M8</f>
        <v>#VALUE!</v>
      </c>
    </row>
    <row r="9" spans="1:3" x14ac:dyDescent="0.35">
      <c r="A9" s="3">
        <v>8</v>
      </c>
      <c r="B9" s="3" t="e">
        <f>'BD01'!L9</f>
        <v>#VALUE!</v>
      </c>
      <c r="C9" s="15" t="e">
        <f>'BD01'!M9</f>
        <v>#VALUE!</v>
      </c>
    </row>
    <row r="10" spans="1:3" x14ac:dyDescent="0.35">
      <c r="A10" s="3">
        <v>9</v>
      </c>
      <c r="B10" s="3" t="e">
        <f>'BD01'!L10</f>
        <v>#VALUE!</v>
      </c>
      <c r="C10" s="15" t="e">
        <f>'BD01'!M10</f>
        <v>#VALUE!</v>
      </c>
    </row>
    <row r="11" spans="1:3" x14ac:dyDescent="0.35">
      <c r="A11" s="3">
        <v>10</v>
      </c>
      <c r="B11" s="3" t="e">
        <f>'BD01'!L11</f>
        <v>#VALUE!</v>
      </c>
      <c r="C11" s="15" t="e">
        <f>'BD01'!M11</f>
        <v>#VALUE!</v>
      </c>
    </row>
    <row r="12" spans="1:3" x14ac:dyDescent="0.35">
      <c r="A12" s="3">
        <v>11</v>
      </c>
      <c r="B12" s="3" t="e">
        <f>'BD01'!L12</f>
        <v>#VALUE!</v>
      </c>
      <c r="C12" s="15" t="e">
        <f>'BD01'!M12</f>
        <v>#VALUE!</v>
      </c>
    </row>
    <row r="13" spans="1:3" x14ac:dyDescent="0.35">
      <c r="A13" s="3">
        <v>12</v>
      </c>
      <c r="B13" s="3" t="e">
        <f>'BD01'!L13</f>
        <v>#VALUE!</v>
      </c>
      <c r="C13" s="15" t="e">
        <f>'BD01'!M13</f>
        <v>#VALUE!</v>
      </c>
    </row>
    <row r="14" spans="1:3" x14ac:dyDescent="0.35">
      <c r="A14" s="3">
        <v>13</v>
      </c>
      <c r="B14" s="3" t="e">
        <f>'BD01'!L14</f>
        <v>#VALUE!</v>
      </c>
      <c r="C14" s="15" t="e">
        <f>'BD01'!M14</f>
        <v>#VALUE!</v>
      </c>
    </row>
    <row r="15" spans="1:3" x14ac:dyDescent="0.35">
      <c r="A15" s="3">
        <v>14</v>
      </c>
      <c r="B15" s="3" t="e">
        <f>'BD01'!L15</f>
        <v>#VALUE!</v>
      </c>
      <c r="C15" s="15" t="e">
        <f>'BD01'!M15</f>
        <v>#VALUE!</v>
      </c>
    </row>
    <row r="16" spans="1:3" x14ac:dyDescent="0.35">
      <c r="A16" s="3">
        <v>15</v>
      </c>
      <c r="B16" s="3" t="e">
        <f>'BD01'!L16</f>
        <v>#VALUE!</v>
      </c>
      <c r="C16" s="15" t="e">
        <f>'BD01'!M16</f>
        <v>#VALUE!</v>
      </c>
    </row>
    <row r="17" spans="1:3" x14ac:dyDescent="0.35">
      <c r="A17" s="3">
        <v>16</v>
      </c>
      <c r="B17" s="3" t="e">
        <f>'BD01'!L17</f>
        <v>#VALUE!</v>
      </c>
      <c r="C17" s="15" t="e">
        <f>'BD01'!M17</f>
        <v>#VALUE!</v>
      </c>
    </row>
    <row r="18" spans="1:3" x14ac:dyDescent="0.35">
      <c r="A18" s="3">
        <v>17</v>
      </c>
      <c r="B18" s="3" t="e">
        <f>'BD01'!L18</f>
        <v>#VALUE!</v>
      </c>
      <c r="C18" s="15" t="e">
        <f>'BD01'!M18</f>
        <v>#VALUE!</v>
      </c>
    </row>
    <row r="19" spans="1:3" x14ac:dyDescent="0.35">
      <c r="A19" s="3">
        <v>18</v>
      </c>
      <c r="B19" s="3" t="e">
        <f>'BD01'!L19</f>
        <v>#VALUE!</v>
      </c>
      <c r="C19" s="15" t="e">
        <f>'BD01'!M19</f>
        <v>#VALUE!</v>
      </c>
    </row>
    <row r="20" spans="1:3" x14ac:dyDescent="0.35">
      <c r="A20" s="3">
        <v>19</v>
      </c>
      <c r="B20" s="3" t="e">
        <f>'BD01'!L20</f>
        <v>#VALUE!</v>
      </c>
      <c r="C20" s="15" t="e">
        <f>'BD01'!M20</f>
        <v>#VALUE!</v>
      </c>
    </row>
    <row r="21" spans="1:3" x14ac:dyDescent="0.35">
      <c r="A21" s="3">
        <v>20</v>
      </c>
      <c r="B21" s="3" t="e">
        <f>'BD01'!L21</f>
        <v>#VALUE!</v>
      </c>
      <c r="C21" s="15" t="e">
        <f>'BD01'!M21</f>
        <v>#VALUE!</v>
      </c>
    </row>
    <row r="22" spans="1:3" x14ac:dyDescent="0.35">
      <c r="A22" s="3">
        <v>21</v>
      </c>
      <c r="B22" s="3" t="e">
        <f>'BD01'!L22</f>
        <v>#VALUE!</v>
      </c>
      <c r="C22" s="15" t="e">
        <f>'BD01'!M22</f>
        <v>#VALUE!</v>
      </c>
    </row>
    <row r="23" spans="1:3" x14ac:dyDescent="0.35">
      <c r="A23" s="3">
        <v>22</v>
      </c>
      <c r="B23" s="3" t="e">
        <f>'BD01'!L23</f>
        <v>#VALUE!</v>
      </c>
      <c r="C23" s="15" t="e">
        <f>'BD01'!M23</f>
        <v>#VALUE!</v>
      </c>
    </row>
    <row r="24" spans="1:3" x14ac:dyDescent="0.35">
      <c r="A24" s="3">
        <v>23</v>
      </c>
      <c r="B24" s="3" t="e">
        <f>'BD01'!L24</f>
        <v>#VALUE!</v>
      </c>
      <c r="C24" s="15" t="e">
        <f>'BD01'!M24</f>
        <v>#VALUE!</v>
      </c>
    </row>
    <row r="25" spans="1:3" x14ac:dyDescent="0.35">
      <c r="A25" s="3">
        <v>24</v>
      </c>
      <c r="B25" s="3" t="e">
        <f>'BD01'!L25</f>
        <v>#VALUE!</v>
      </c>
      <c r="C25" s="15" t="e">
        <f>'BD01'!M25</f>
        <v>#VALUE!</v>
      </c>
    </row>
    <row r="26" spans="1:3" x14ac:dyDescent="0.35">
      <c r="A26" s="3">
        <v>25</v>
      </c>
      <c r="B26" s="3" t="e">
        <f>'BD01'!L26</f>
        <v>#VALUE!</v>
      </c>
      <c r="C26" s="15" t="e">
        <f>'BD01'!M26</f>
        <v>#VALUE!</v>
      </c>
    </row>
    <row r="27" spans="1:3" x14ac:dyDescent="0.35">
      <c r="A27" s="3">
        <v>26</v>
      </c>
      <c r="B27" s="3" t="e">
        <f>'BD01'!L27</f>
        <v>#VALUE!</v>
      </c>
      <c r="C27" s="15" t="e">
        <f>'BD01'!M27</f>
        <v>#VALUE!</v>
      </c>
    </row>
    <row r="28" spans="1:3" x14ac:dyDescent="0.35">
      <c r="A28" s="3">
        <v>27</v>
      </c>
      <c r="B28" s="3" t="e">
        <f>'BD01'!L28</f>
        <v>#VALUE!</v>
      </c>
      <c r="C28" s="15" t="e">
        <f>'BD01'!M28</f>
        <v>#VALUE!</v>
      </c>
    </row>
    <row r="29" spans="1:3" x14ac:dyDescent="0.35">
      <c r="A29" s="3">
        <v>28</v>
      </c>
      <c r="B29" s="3" t="e">
        <f>'BD01'!L29</f>
        <v>#VALUE!</v>
      </c>
      <c r="C29" s="15" t="e">
        <f>'BD01'!M29</f>
        <v>#VALUE!</v>
      </c>
    </row>
    <row r="30" spans="1:3" x14ac:dyDescent="0.35">
      <c r="A30" s="3">
        <v>29</v>
      </c>
      <c r="B30" s="3" t="e">
        <f>'BD01'!L30</f>
        <v>#VALUE!</v>
      </c>
      <c r="C30" s="15" t="e">
        <f>'BD01'!M30</f>
        <v>#VALUE!</v>
      </c>
    </row>
    <row r="31" spans="1:3" x14ac:dyDescent="0.35">
      <c r="A31" s="3">
        <v>30</v>
      </c>
      <c r="B31" s="3" t="e">
        <f>'BD01'!L31</f>
        <v>#VALUE!</v>
      </c>
      <c r="C31" s="15" t="e">
        <f>'BD01'!M31</f>
        <v>#VALUE!</v>
      </c>
    </row>
    <row r="32" spans="1:3" x14ac:dyDescent="0.35">
      <c r="A32" s="3">
        <v>31</v>
      </c>
      <c r="B32" s="3" t="e">
        <f>'BD01'!L32</f>
        <v>#VALUE!</v>
      </c>
      <c r="C32" s="15" t="e">
        <f>'BD01'!M32</f>
        <v>#VALUE!</v>
      </c>
    </row>
    <row r="33" spans="1:3" x14ac:dyDescent="0.35">
      <c r="A33" s="3">
        <v>32</v>
      </c>
      <c r="B33" s="3" t="e">
        <f>'BD01'!L33</f>
        <v>#VALUE!</v>
      </c>
      <c r="C33" s="15" t="e">
        <f>'BD01'!M33</f>
        <v>#VALUE!</v>
      </c>
    </row>
    <row r="34" spans="1:3" x14ac:dyDescent="0.35">
      <c r="A34" s="3">
        <v>33</v>
      </c>
      <c r="B34" s="3" t="e">
        <f>'BD01'!L34</f>
        <v>#VALUE!</v>
      </c>
      <c r="C34" s="15" t="e">
        <f>'BD01'!M34</f>
        <v>#VALUE!</v>
      </c>
    </row>
    <row r="35" spans="1:3" x14ac:dyDescent="0.35">
      <c r="A35" s="3">
        <v>34</v>
      </c>
      <c r="B35" s="3" t="e">
        <f>'BD01'!L35</f>
        <v>#VALUE!</v>
      </c>
      <c r="C35" s="15" t="e">
        <f>'BD01'!M35</f>
        <v>#VALUE!</v>
      </c>
    </row>
    <row r="36" spans="1:3" x14ac:dyDescent="0.35">
      <c r="A36" s="3">
        <v>35</v>
      </c>
      <c r="B36" s="3" t="e">
        <f>'BD01'!L36</f>
        <v>#VALUE!</v>
      </c>
      <c r="C36" s="15" t="e">
        <f>'BD01'!M36</f>
        <v>#VALUE!</v>
      </c>
    </row>
    <row r="37" spans="1:3" x14ac:dyDescent="0.35">
      <c r="A37" s="3">
        <v>36</v>
      </c>
      <c r="B37" s="3" t="e">
        <f>'BD01'!L37</f>
        <v>#VALUE!</v>
      </c>
      <c r="C37" s="15" t="e">
        <f>'BD01'!M37</f>
        <v>#VALUE!</v>
      </c>
    </row>
    <row r="38" spans="1:3" x14ac:dyDescent="0.35">
      <c r="A38" s="3">
        <v>37</v>
      </c>
      <c r="B38" s="3" t="e">
        <f>'BD01'!L38</f>
        <v>#VALUE!</v>
      </c>
      <c r="C38" s="15" t="e">
        <f>'BD01'!M38</f>
        <v>#VALUE!</v>
      </c>
    </row>
    <row r="39" spans="1:3" x14ac:dyDescent="0.35">
      <c r="A39" s="3">
        <v>38</v>
      </c>
      <c r="B39" s="3" t="e">
        <f>'BD01'!L39</f>
        <v>#VALUE!</v>
      </c>
      <c r="C39" s="15" t="e">
        <f>'BD01'!M39</f>
        <v>#VALUE!</v>
      </c>
    </row>
    <row r="40" spans="1:3" x14ac:dyDescent="0.35">
      <c r="A40" s="3">
        <v>39</v>
      </c>
      <c r="B40" s="3" t="e">
        <f>'BD01'!L40</f>
        <v>#VALUE!</v>
      </c>
      <c r="C40" s="15" t="e">
        <f>'BD01'!M40</f>
        <v>#VALUE!</v>
      </c>
    </row>
    <row r="41" spans="1:3" x14ac:dyDescent="0.35">
      <c r="A41" s="3">
        <v>40</v>
      </c>
      <c r="B41" s="3" t="e">
        <f>'BD01'!L41</f>
        <v>#VALUE!</v>
      </c>
      <c r="C41" s="15" t="e">
        <f>'BD01'!M41</f>
        <v>#VALUE!</v>
      </c>
    </row>
    <row r="42" spans="1:3" x14ac:dyDescent="0.35">
      <c r="A42" s="3">
        <v>41</v>
      </c>
      <c r="B42" s="3" t="e">
        <f>'BD01'!L42</f>
        <v>#VALUE!</v>
      </c>
      <c r="C42" s="15" t="e">
        <f>'BD01'!M42</f>
        <v>#VALUE!</v>
      </c>
    </row>
    <row r="43" spans="1:3" x14ac:dyDescent="0.35">
      <c r="A43" s="3">
        <v>42</v>
      </c>
      <c r="B43" s="3" t="e">
        <f>'BD01'!L43</f>
        <v>#VALUE!</v>
      </c>
      <c r="C43" s="15" t="e">
        <f>'BD01'!M43</f>
        <v>#VALUE!</v>
      </c>
    </row>
    <row r="44" spans="1:3" x14ac:dyDescent="0.35">
      <c r="A44" s="3">
        <v>43</v>
      </c>
      <c r="B44" s="3" t="e">
        <f>'BD01'!L44</f>
        <v>#VALUE!</v>
      </c>
      <c r="C44" s="15" t="e">
        <f>'BD01'!M44</f>
        <v>#VALUE!</v>
      </c>
    </row>
    <row r="45" spans="1:3" x14ac:dyDescent="0.35">
      <c r="A45" s="3">
        <v>44</v>
      </c>
      <c r="B45" s="3" t="e">
        <f>'BD01'!L45</f>
        <v>#VALUE!</v>
      </c>
      <c r="C45" s="15" t="e">
        <f>'BD01'!M45</f>
        <v>#VALUE!</v>
      </c>
    </row>
    <row r="46" spans="1:3" x14ac:dyDescent="0.35">
      <c r="A46" s="3">
        <v>45</v>
      </c>
      <c r="B46" s="3" t="e">
        <f>'BD01'!L46</f>
        <v>#VALUE!</v>
      </c>
      <c r="C46" s="15" t="e">
        <f>'BD01'!M46</f>
        <v>#VALUE!</v>
      </c>
    </row>
    <row r="47" spans="1:3" x14ac:dyDescent="0.35">
      <c r="A47" s="3">
        <v>46</v>
      </c>
      <c r="B47" s="3" t="e">
        <f>'BD01'!L47</f>
        <v>#VALUE!</v>
      </c>
      <c r="C47" s="15" t="e">
        <f>'BD01'!M47</f>
        <v>#VALUE!</v>
      </c>
    </row>
    <row r="48" spans="1:3" x14ac:dyDescent="0.35">
      <c r="A48" s="3">
        <v>47</v>
      </c>
      <c r="B48" s="3" t="e">
        <f>'BD01'!L48</f>
        <v>#VALUE!</v>
      </c>
      <c r="C48" s="15" t="e">
        <f>'BD01'!M48</f>
        <v>#VALUE!</v>
      </c>
    </row>
    <row r="49" spans="1:3" x14ac:dyDescent="0.35">
      <c r="A49" s="3">
        <v>48</v>
      </c>
      <c r="B49" s="3" t="e">
        <f>'BD01'!L49</f>
        <v>#VALUE!</v>
      </c>
      <c r="C49" s="15" t="e">
        <f>'BD01'!M49</f>
        <v>#VALUE!</v>
      </c>
    </row>
    <row r="50" spans="1:3" x14ac:dyDescent="0.35">
      <c r="A50" s="3">
        <v>49</v>
      </c>
      <c r="B50" s="3" t="e">
        <f>'BD01'!L50</f>
        <v>#VALUE!</v>
      </c>
      <c r="C50" s="15" t="e">
        <f>'BD01'!M50</f>
        <v>#VALUE!</v>
      </c>
    </row>
    <row r="51" spans="1:3" x14ac:dyDescent="0.35">
      <c r="A51" s="3">
        <v>50</v>
      </c>
      <c r="B51" s="3" t="e">
        <f>'BD01'!L51</f>
        <v>#VALUE!</v>
      </c>
      <c r="C51" s="15" t="e">
        <f>'BD01'!M51</f>
        <v>#VALUE!</v>
      </c>
    </row>
    <row r="52" spans="1:3" x14ac:dyDescent="0.35">
      <c r="A52" s="3">
        <v>51</v>
      </c>
      <c r="B52" s="3" t="e">
        <f>'BD01'!L52</f>
        <v>#VALUE!</v>
      </c>
      <c r="C52" s="15" t="e">
        <f>'BD01'!M52</f>
        <v>#VALUE!</v>
      </c>
    </row>
    <row r="53" spans="1:3" x14ac:dyDescent="0.35">
      <c r="A53" s="3">
        <v>52</v>
      </c>
      <c r="B53" s="3" t="e">
        <f>'BD01'!L53</f>
        <v>#VALUE!</v>
      </c>
      <c r="C53" s="15" t="e">
        <f>'BD01'!M53</f>
        <v>#VALUE!</v>
      </c>
    </row>
    <row r="54" spans="1:3" x14ac:dyDescent="0.35">
      <c r="A54" s="3">
        <v>53</v>
      </c>
      <c r="B54" s="3" t="e">
        <f>'BD01'!L54</f>
        <v>#VALUE!</v>
      </c>
      <c r="C54" s="15" t="e">
        <f>'BD01'!M54</f>
        <v>#VALUE!</v>
      </c>
    </row>
    <row r="55" spans="1:3" x14ac:dyDescent="0.35">
      <c r="A55" s="3">
        <v>54</v>
      </c>
      <c r="B55" s="3" t="e">
        <f>'BD01'!L55</f>
        <v>#VALUE!</v>
      </c>
      <c r="C55" s="15" t="e">
        <f>'BD01'!M55</f>
        <v>#VALUE!</v>
      </c>
    </row>
    <row r="56" spans="1:3" x14ac:dyDescent="0.35">
      <c r="A56" s="3">
        <v>55</v>
      </c>
      <c r="B56" s="3" t="e">
        <f>'BD01'!L56</f>
        <v>#VALUE!</v>
      </c>
      <c r="C56" s="15" t="e">
        <f>'BD01'!M56</f>
        <v>#VALUE!</v>
      </c>
    </row>
    <row r="57" spans="1:3" x14ac:dyDescent="0.35">
      <c r="A57" s="3">
        <v>56</v>
      </c>
      <c r="B57" s="3" t="e">
        <f>'BD01'!L57</f>
        <v>#VALUE!</v>
      </c>
      <c r="C57" s="15" t="e">
        <f>'BD01'!M57</f>
        <v>#VALUE!</v>
      </c>
    </row>
    <row r="58" spans="1:3" x14ac:dyDescent="0.35">
      <c r="A58" s="3">
        <v>57</v>
      </c>
      <c r="B58" s="3" t="e">
        <f>'BD01'!L58</f>
        <v>#VALUE!</v>
      </c>
      <c r="C58" s="15" t="e">
        <f>'BD01'!M58</f>
        <v>#VALUE!</v>
      </c>
    </row>
    <row r="59" spans="1:3" x14ac:dyDescent="0.35">
      <c r="A59" s="3">
        <v>58</v>
      </c>
      <c r="B59" s="3" t="e">
        <f>'BD01'!L59</f>
        <v>#VALUE!</v>
      </c>
      <c r="C59" s="15" t="e">
        <f>'BD01'!M59</f>
        <v>#VALUE!</v>
      </c>
    </row>
    <row r="60" spans="1:3" x14ac:dyDescent="0.35">
      <c r="A60" s="3">
        <v>59</v>
      </c>
      <c r="B60" s="3" t="e">
        <f>'BD01'!L60</f>
        <v>#VALUE!</v>
      </c>
      <c r="C60" s="15" t="e">
        <f>'BD01'!M60</f>
        <v>#VALUE!</v>
      </c>
    </row>
    <row r="61" spans="1:3" x14ac:dyDescent="0.35">
      <c r="A61" s="3">
        <v>60</v>
      </c>
      <c r="B61" s="3" t="e">
        <f>'BD01'!L61</f>
        <v>#VALUE!</v>
      </c>
      <c r="C61" s="15" t="e">
        <f>'BD01'!M61</f>
        <v>#VALUE!</v>
      </c>
    </row>
    <row r="62" spans="1:3" x14ac:dyDescent="0.35">
      <c r="A62" s="3">
        <v>61</v>
      </c>
      <c r="B62" s="3" t="e">
        <f>'BD01'!L62</f>
        <v>#VALUE!</v>
      </c>
      <c r="C62" s="15" t="e">
        <f>'BD01'!M62</f>
        <v>#VALUE!</v>
      </c>
    </row>
    <row r="63" spans="1:3" x14ac:dyDescent="0.35">
      <c r="A63" s="3">
        <v>62</v>
      </c>
      <c r="B63" s="3" t="e">
        <f>'BD01'!L63</f>
        <v>#VALUE!</v>
      </c>
      <c r="C63" s="15" t="e">
        <f>'BD01'!M63</f>
        <v>#VALUE!</v>
      </c>
    </row>
    <row r="64" spans="1:3" x14ac:dyDescent="0.35">
      <c r="A64" s="3">
        <v>63</v>
      </c>
      <c r="B64" s="3" t="e">
        <f>'BD01'!L64</f>
        <v>#VALUE!</v>
      </c>
      <c r="C64" s="15" t="e">
        <f>'BD01'!M64</f>
        <v>#VALUE!</v>
      </c>
    </row>
    <row r="65" spans="1:3" x14ac:dyDescent="0.35">
      <c r="A65" s="3">
        <v>64</v>
      </c>
      <c r="B65" s="3" t="e">
        <f>'BD01'!L65</f>
        <v>#VALUE!</v>
      </c>
      <c r="C65" s="15" t="e">
        <f>'BD01'!M65</f>
        <v>#VALUE!</v>
      </c>
    </row>
    <row r="66" spans="1:3" x14ac:dyDescent="0.35">
      <c r="A66" s="3">
        <v>65</v>
      </c>
      <c r="B66" s="3" t="e">
        <f>'BD01'!L66</f>
        <v>#VALUE!</v>
      </c>
      <c r="C66" s="15" t="e">
        <f>'BD01'!M66</f>
        <v>#VALUE!</v>
      </c>
    </row>
    <row r="67" spans="1:3" x14ac:dyDescent="0.35">
      <c r="A67" s="3">
        <v>66</v>
      </c>
      <c r="B67" s="3" t="e">
        <f>'BD01'!L67</f>
        <v>#VALUE!</v>
      </c>
      <c r="C67" s="15" t="e">
        <f>'BD01'!M67</f>
        <v>#VALUE!</v>
      </c>
    </row>
    <row r="68" spans="1:3" x14ac:dyDescent="0.35">
      <c r="A68" s="3">
        <v>67</v>
      </c>
      <c r="B68" s="3" t="e">
        <f>'BD01'!L68</f>
        <v>#VALUE!</v>
      </c>
      <c r="C68" s="15" t="e">
        <f>'BD01'!M68</f>
        <v>#VALUE!</v>
      </c>
    </row>
    <row r="69" spans="1:3" x14ac:dyDescent="0.35">
      <c r="A69" s="3">
        <v>68</v>
      </c>
      <c r="B69" s="3" t="e">
        <f>'BD01'!L69</f>
        <v>#VALUE!</v>
      </c>
      <c r="C69" s="15" t="e">
        <f>'BD01'!M69</f>
        <v>#VALUE!</v>
      </c>
    </row>
    <row r="70" spans="1:3" x14ac:dyDescent="0.35">
      <c r="A70" s="3">
        <v>69</v>
      </c>
      <c r="B70" s="3" t="e">
        <f>'BD01'!L70</f>
        <v>#VALUE!</v>
      </c>
      <c r="C70" s="15" t="e">
        <f>'BD01'!M70</f>
        <v>#VALUE!</v>
      </c>
    </row>
    <row r="71" spans="1:3" x14ac:dyDescent="0.35">
      <c r="A71" s="3">
        <v>70</v>
      </c>
      <c r="B71" s="3" t="e">
        <f>'BD01'!L71</f>
        <v>#VALUE!</v>
      </c>
      <c r="C71" s="15" t="e">
        <f>'BD01'!M71</f>
        <v>#VALUE!</v>
      </c>
    </row>
    <row r="72" spans="1:3" x14ac:dyDescent="0.35">
      <c r="A72" s="3">
        <v>71</v>
      </c>
      <c r="B72" s="3" t="e">
        <f>'BD01'!L72</f>
        <v>#VALUE!</v>
      </c>
      <c r="C72" s="15" t="e">
        <f>'BD01'!M72</f>
        <v>#VALUE!</v>
      </c>
    </row>
    <row r="73" spans="1:3" x14ac:dyDescent="0.35">
      <c r="A73" s="3">
        <v>72</v>
      </c>
      <c r="B73" s="3" t="e">
        <f>'BD01'!L73</f>
        <v>#VALUE!</v>
      </c>
      <c r="C73" s="15" t="e">
        <f>'BD01'!M73</f>
        <v>#VALUE!</v>
      </c>
    </row>
    <row r="74" spans="1:3" x14ac:dyDescent="0.35">
      <c r="A74" s="3">
        <v>73</v>
      </c>
      <c r="B74" s="3" t="e">
        <f>'BD01'!L74</f>
        <v>#VALUE!</v>
      </c>
      <c r="C74" s="15" t="e">
        <f>'BD01'!M74</f>
        <v>#VALUE!</v>
      </c>
    </row>
    <row r="75" spans="1:3" x14ac:dyDescent="0.35">
      <c r="A75" s="3">
        <v>74</v>
      </c>
      <c r="B75" s="3" t="e">
        <f>'BD01'!L75</f>
        <v>#VALUE!</v>
      </c>
      <c r="C75" s="15" t="e">
        <f>'BD01'!M75</f>
        <v>#VALUE!</v>
      </c>
    </row>
    <row r="76" spans="1:3" x14ac:dyDescent="0.35">
      <c r="A76" s="3">
        <v>75</v>
      </c>
      <c r="B76" s="3" t="e">
        <f>'BD01'!L76</f>
        <v>#VALUE!</v>
      </c>
      <c r="C76" s="15" t="e">
        <f>'BD01'!M76</f>
        <v>#VALUE!</v>
      </c>
    </row>
    <row r="77" spans="1:3" x14ac:dyDescent="0.35">
      <c r="A77" s="3">
        <v>76</v>
      </c>
      <c r="B77" s="3" t="e">
        <f>'BD01'!L77</f>
        <v>#VALUE!</v>
      </c>
      <c r="C77" s="15" t="e">
        <f>'BD01'!M77</f>
        <v>#VALUE!</v>
      </c>
    </row>
    <row r="78" spans="1:3" x14ac:dyDescent="0.35">
      <c r="A78" s="3">
        <v>77</v>
      </c>
      <c r="B78" s="3" t="e">
        <f>'BD01'!L78</f>
        <v>#VALUE!</v>
      </c>
      <c r="C78" s="15" t="e">
        <f>'BD01'!M78</f>
        <v>#VALUE!</v>
      </c>
    </row>
    <row r="79" spans="1:3" x14ac:dyDescent="0.35">
      <c r="A79" s="3">
        <v>78</v>
      </c>
      <c r="B79" s="3" t="e">
        <f>'BD01'!L79</f>
        <v>#VALUE!</v>
      </c>
      <c r="C79" s="15" t="e">
        <f>'BD01'!M79</f>
        <v>#VALUE!</v>
      </c>
    </row>
    <row r="80" spans="1:3" x14ac:dyDescent="0.35">
      <c r="A80" s="3">
        <v>79</v>
      </c>
      <c r="B80" s="3" t="e">
        <f>'BD01'!L80</f>
        <v>#VALUE!</v>
      </c>
      <c r="C80" s="15" t="e">
        <f>'BD01'!M80</f>
        <v>#VALUE!</v>
      </c>
    </row>
    <row r="81" spans="1:3" x14ac:dyDescent="0.35">
      <c r="A81" s="3">
        <v>80</v>
      </c>
      <c r="B81" s="3" t="e">
        <f>'BD01'!L81</f>
        <v>#VALUE!</v>
      </c>
      <c r="C81" s="15" t="e">
        <f>'BD01'!M81</f>
        <v>#VALUE!</v>
      </c>
    </row>
    <row r="82" spans="1:3" x14ac:dyDescent="0.35">
      <c r="A82" s="3">
        <v>81</v>
      </c>
      <c r="B82" s="3" t="e">
        <f>'BD01'!L82</f>
        <v>#VALUE!</v>
      </c>
      <c r="C82" s="15" t="e">
        <f>'BD01'!M82</f>
        <v>#VALUE!</v>
      </c>
    </row>
    <row r="83" spans="1:3" x14ac:dyDescent="0.35">
      <c r="A83" s="3">
        <v>82</v>
      </c>
      <c r="B83" s="3" t="e">
        <f>'BD01'!L83</f>
        <v>#VALUE!</v>
      </c>
      <c r="C83" s="15" t="e">
        <f>'BD01'!M83</f>
        <v>#VALUE!</v>
      </c>
    </row>
    <row r="84" spans="1:3" x14ac:dyDescent="0.35">
      <c r="A84" s="3">
        <v>83</v>
      </c>
      <c r="B84" s="3" t="e">
        <f>'BD01'!L84</f>
        <v>#VALUE!</v>
      </c>
      <c r="C84" s="15" t="e">
        <f>'BD01'!M84</f>
        <v>#VALUE!</v>
      </c>
    </row>
    <row r="85" spans="1:3" x14ac:dyDescent="0.35">
      <c r="A85" s="3">
        <v>84</v>
      </c>
      <c r="B85" s="3" t="e">
        <f>'BD01'!L85</f>
        <v>#VALUE!</v>
      </c>
      <c r="C85" s="15" t="e">
        <f>'BD01'!M85</f>
        <v>#VALUE!</v>
      </c>
    </row>
    <row r="86" spans="1:3" x14ac:dyDescent="0.35">
      <c r="A86" s="3">
        <v>85</v>
      </c>
      <c r="B86" s="3" t="e">
        <f>'BD01'!L86</f>
        <v>#VALUE!</v>
      </c>
      <c r="C86" s="15" t="e">
        <f>'BD01'!M86</f>
        <v>#VALUE!</v>
      </c>
    </row>
    <row r="87" spans="1:3" x14ac:dyDescent="0.35">
      <c r="A87" s="3">
        <v>86</v>
      </c>
      <c r="B87" s="3" t="e">
        <f>'BD01'!L87</f>
        <v>#VALUE!</v>
      </c>
      <c r="C87" s="15" t="e">
        <f>'BD01'!M87</f>
        <v>#VALUE!</v>
      </c>
    </row>
    <row r="88" spans="1:3" x14ac:dyDescent="0.35">
      <c r="A88" s="3">
        <v>87</v>
      </c>
      <c r="B88" s="3" t="e">
        <f>'BD01'!L88</f>
        <v>#VALUE!</v>
      </c>
      <c r="C88" s="15" t="e">
        <f>'BD01'!M88</f>
        <v>#VALUE!</v>
      </c>
    </row>
    <row r="89" spans="1:3" x14ac:dyDescent="0.35">
      <c r="A89" s="3">
        <v>88</v>
      </c>
      <c r="B89" s="3" t="e">
        <f>'BD01'!L89</f>
        <v>#VALUE!</v>
      </c>
      <c r="C89" s="15" t="e">
        <f>'BD01'!M89</f>
        <v>#VALUE!</v>
      </c>
    </row>
    <row r="90" spans="1:3" x14ac:dyDescent="0.35">
      <c r="A90" s="3">
        <v>89</v>
      </c>
      <c r="B90" s="3" t="e">
        <f>'BD01'!L90</f>
        <v>#VALUE!</v>
      </c>
      <c r="C90" s="15" t="e">
        <f>'BD01'!M90</f>
        <v>#VALUE!</v>
      </c>
    </row>
    <row r="91" spans="1:3" x14ac:dyDescent="0.35">
      <c r="A91" s="3">
        <v>90</v>
      </c>
      <c r="B91" s="3" t="e">
        <f>'BD01'!L91</f>
        <v>#VALUE!</v>
      </c>
      <c r="C91" s="15" t="e">
        <f>'BD01'!M91</f>
        <v>#VALUE!</v>
      </c>
    </row>
    <row r="92" spans="1:3" x14ac:dyDescent="0.35">
      <c r="A92" s="3">
        <v>91</v>
      </c>
      <c r="B92" s="3" t="e">
        <f>'BD01'!L92</f>
        <v>#VALUE!</v>
      </c>
      <c r="C92" s="15" t="e">
        <f>'BD01'!M92</f>
        <v>#VALUE!</v>
      </c>
    </row>
    <row r="93" spans="1:3" x14ac:dyDescent="0.35">
      <c r="A93" s="3">
        <v>92</v>
      </c>
      <c r="B93" s="3" t="e">
        <f>'BD01'!L93</f>
        <v>#VALUE!</v>
      </c>
      <c r="C93" s="15" t="e">
        <f>'BD01'!M93</f>
        <v>#VALUE!</v>
      </c>
    </row>
    <row r="94" spans="1:3" x14ac:dyDescent="0.35">
      <c r="A94" s="3">
        <v>93</v>
      </c>
      <c r="B94" s="3" t="e">
        <f>'BD01'!L94</f>
        <v>#VALUE!</v>
      </c>
      <c r="C94" s="15" t="e">
        <f>'BD01'!M94</f>
        <v>#VALUE!</v>
      </c>
    </row>
    <row r="95" spans="1:3" x14ac:dyDescent="0.35">
      <c r="A95" s="3">
        <v>94</v>
      </c>
      <c r="B95" s="3" t="e">
        <f>'BD01'!L95</f>
        <v>#VALUE!</v>
      </c>
      <c r="C95" s="15" t="e">
        <f>'BD01'!M95</f>
        <v>#VALUE!</v>
      </c>
    </row>
    <row r="96" spans="1:3" x14ac:dyDescent="0.35">
      <c r="A96" s="3">
        <v>95</v>
      </c>
      <c r="B96" s="3" t="e">
        <f>'BD01'!L96</f>
        <v>#VALUE!</v>
      </c>
      <c r="C96" s="15" t="e">
        <f>'BD01'!M96</f>
        <v>#VALUE!</v>
      </c>
    </row>
    <row r="97" spans="1:3" x14ac:dyDescent="0.35">
      <c r="A97" s="3">
        <v>96</v>
      </c>
      <c r="B97" s="3" t="e">
        <f>'BD01'!L97</f>
        <v>#VALUE!</v>
      </c>
      <c r="C97" s="15" t="e">
        <f>'BD01'!M97</f>
        <v>#VALUE!</v>
      </c>
    </row>
    <row r="98" spans="1:3" x14ac:dyDescent="0.35">
      <c r="A98" s="3">
        <v>97</v>
      </c>
      <c r="B98" s="3" t="e">
        <f>'BD01'!L98</f>
        <v>#VALUE!</v>
      </c>
      <c r="C98" s="15" t="e">
        <f>'BD01'!M98</f>
        <v>#VALUE!</v>
      </c>
    </row>
    <row r="99" spans="1:3" x14ac:dyDescent="0.35">
      <c r="A99" s="3">
        <v>98</v>
      </c>
      <c r="B99" s="3" t="e">
        <f>'BD01'!L99</f>
        <v>#VALUE!</v>
      </c>
      <c r="C99" s="15" t="e">
        <f>'BD01'!M99</f>
        <v>#VALUE!</v>
      </c>
    </row>
    <row r="100" spans="1:3" x14ac:dyDescent="0.35">
      <c r="A100" s="3">
        <v>99</v>
      </c>
      <c r="B100" s="3" t="e">
        <f>'BD01'!L100</f>
        <v>#VALUE!</v>
      </c>
      <c r="C100" s="15" t="e">
        <f>'BD01'!M100</f>
        <v>#VALUE!</v>
      </c>
    </row>
    <row r="101" spans="1:3" x14ac:dyDescent="0.35">
      <c r="A101" s="3">
        <v>100</v>
      </c>
      <c r="B101" s="3" t="e">
        <f>'BD01'!L101</f>
        <v>#VALUE!</v>
      </c>
      <c r="C101" s="15" t="e">
        <f>'BD01'!M101</f>
        <v>#VALUE!</v>
      </c>
    </row>
    <row r="102" spans="1:3" x14ac:dyDescent="0.35">
      <c r="A102" s="3">
        <v>101</v>
      </c>
      <c r="B102" s="3" t="e">
        <f>'BD01'!L102</f>
        <v>#VALUE!</v>
      </c>
      <c r="C102" s="15" t="e">
        <f>'BD01'!M102</f>
        <v>#VALUE!</v>
      </c>
    </row>
    <row r="103" spans="1:3" x14ac:dyDescent="0.35">
      <c r="A103" s="3">
        <v>102</v>
      </c>
      <c r="B103" s="3" t="e">
        <f>'BD01'!L103</f>
        <v>#VALUE!</v>
      </c>
      <c r="C103" s="15" t="e">
        <f>'BD01'!M103</f>
        <v>#VALUE!</v>
      </c>
    </row>
    <row r="104" spans="1:3" x14ac:dyDescent="0.35">
      <c r="A104" s="3">
        <v>103</v>
      </c>
      <c r="B104" s="3" t="e">
        <f>'BD01'!L104</f>
        <v>#VALUE!</v>
      </c>
      <c r="C104" s="15" t="e">
        <f>'BD01'!M104</f>
        <v>#VALUE!</v>
      </c>
    </row>
    <row r="105" spans="1:3" x14ac:dyDescent="0.35">
      <c r="A105" s="3">
        <v>104</v>
      </c>
      <c r="B105" s="3" t="e">
        <f>'BD01'!L105</f>
        <v>#VALUE!</v>
      </c>
      <c r="C105" s="15" t="e">
        <f>'BD01'!M105</f>
        <v>#VALUE!</v>
      </c>
    </row>
    <row r="106" spans="1:3" x14ac:dyDescent="0.35">
      <c r="A106" s="3">
        <v>105</v>
      </c>
      <c r="B106" s="3" t="e">
        <f>'BD01'!L106</f>
        <v>#VALUE!</v>
      </c>
      <c r="C106" s="15" t="e">
        <f>'BD01'!M106</f>
        <v>#VALUE!</v>
      </c>
    </row>
    <row r="107" spans="1:3" x14ac:dyDescent="0.35">
      <c r="A107" s="3">
        <v>106</v>
      </c>
      <c r="B107" s="3" t="e">
        <f>'BD01'!L107</f>
        <v>#VALUE!</v>
      </c>
      <c r="C107" s="15" t="e">
        <f>'BD01'!M107</f>
        <v>#VALUE!</v>
      </c>
    </row>
    <row r="108" spans="1:3" x14ac:dyDescent="0.35">
      <c r="A108" s="3">
        <v>107</v>
      </c>
      <c r="B108" s="3" t="e">
        <f>'BD01'!L108</f>
        <v>#VALUE!</v>
      </c>
      <c r="C108" s="15" t="e">
        <f>'BD01'!M108</f>
        <v>#VALUE!</v>
      </c>
    </row>
    <row r="109" spans="1:3" x14ac:dyDescent="0.35">
      <c r="A109" s="3">
        <v>108</v>
      </c>
      <c r="B109" s="3" t="e">
        <f>'BD01'!L109</f>
        <v>#VALUE!</v>
      </c>
      <c r="C109" s="15" t="e">
        <f>'BD01'!M109</f>
        <v>#VALUE!</v>
      </c>
    </row>
    <row r="110" spans="1:3" x14ac:dyDescent="0.35">
      <c r="A110" s="3">
        <v>109</v>
      </c>
      <c r="B110" s="3" t="e">
        <f>'BD01'!L110</f>
        <v>#VALUE!</v>
      </c>
      <c r="C110" s="15" t="e">
        <f>'BD01'!M110</f>
        <v>#VALUE!</v>
      </c>
    </row>
    <row r="111" spans="1:3" x14ac:dyDescent="0.35">
      <c r="A111" s="3">
        <v>110</v>
      </c>
      <c r="B111" s="3" t="e">
        <f>'BD01'!L111</f>
        <v>#VALUE!</v>
      </c>
      <c r="C111" s="15" t="e">
        <f>'BD01'!M111</f>
        <v>#VALUE!</v>
      </c>
    </row>
    <row r="112" spans="1:3" x14ac:dyDescent="0.35">
      <c r="A112" s="3">
        <v>111</v>
      </c>
      <c r="B112" s="3" t="e">
        <f>'BD01'!L112</f>
        <v>#VALUE!</v>
      </c>
      <c r="C112" s="15" t="e">
        <f>'BD01'!M112</f>
        <v>#VALUE!</v>
      </c>
    </row>
    <row r="113" spans="1:3" x14ac:dyDescent="0.35">
      <c r="A113" s="3">
        <v>112</v>
      </c>
      <c r="B113" s="3" t="e">
        <f>'BD01'!L113</f>
        <v>#VALUE!</v>
      </c>
      <c r="C113" s="15" t="e">
        <f>'BD01'!M113</f>
        <v>#VALUE!</v>
      </c>
    </row>
    <row r="114" spans="1:3" x14ac:dyDescent="0.35">
      <c r="A114" s="3">
        <v>113</v>
      </c>
      <c r="B114" s="3" t="e">
        <f>'BD01'!L114</f>
        <v>#VALUE!</v>
      </c>
      <c r="C114" s="15" t="e">
        <f>'BD01'!M114</f>
        <v>#VALUE!</v>
      </c>
    </row>
    <row r="115" spans="1:3" x14ac:dyDescent="0.35">
      <c r="A115" s="3">
        <v>114</v>
      </c>
      <c r="B115" s="3" t="e">
        <f>'BD01'!L115</f>
        <v>#VALUE!</v>
      </c>
      <c r="C115" s="15" t="e">
        <f>'BD01'!M115</f>
        <v>#VALUE!</v>
      </c>
    </row>
    <row r="116" spans="1:3" x14ac:dyDescent="0.35">
      <c r="A116" s="3">
        <v>115</v>
      </c>
      <c r="B116" s="3" t="e">
        <f>'BD01'!L116</f>
        <v>#VALUE!</v>
      </c>
      <c r="C116" s="15" t="e">
        <f>'BD01'!M116</f>
        <v>#VALUE!</v>
      </c>
    </row>
    <row r="117" spans="1:3" x14ac:dyDescent="0.35">
      <c r="A117" s="3">
        <v>116</v>
      </c>
      <c r="B117" s="3" t="e">
        <f>'BD01'!L117</f>
        <v>#VALUE!</v>
      </c>
      <c r="C117" s="15" t="e">
        <f>'BD01'!M117</f>
        <v>#VALUE!</v>
      </c>
    </row>
    <row r="118" spans="1:3" x14ac:dyDescent="0.35">
      <c r="A118" s="3">
        <v>117</v>
      </c>
      <c r="B118" s="3" t="e">
        <f>'BD01'!L118</f>
        <v>#VALUE!</v>
      </c>
      <c r="C118" s="15" t="e">
        <f>'BD01'!M118</f>
        <v>#VALUE!</v>
      </c>
    </row>
    <row r="119" spans="1:3" x14ac:dyDescent="0.35">
      <c r="A119" s="3">
        <v>118</v>
      </c>
      <c r="B119" s="3" t="e">
        <f>'BD01'!L119</f>
        <v>#VALUE!</v>
      </c>
      <c r="C119" s="15" t="e">
        <f>'BD01'!M119</f>
        <v>#VALUE!</v>
      </c>
    </row>
    <row r="120" spans="1:3" x14ac:dyDescent="0.35">
      <c r="A120" s="3">
        <v>119</v>
      </c>
      <c r="B120" s="3" t="e">
        <f>'BD01'!L120</f>
        <v>#VALUE!</v>
      </c>
      <c r="C120" s="15" t="e">
        <f>'BD01'!M120</f>
        <v>#VALUE!</v>
      </c>
    </row>
    <row r="121" spans="1:3" x14ac:dyDescent="0.35">
      <c r="A121" s="3">
        <v>120</v>
      </c>
      <c r="B121" s="3" t="e">
        <f>'BD01'!L121</f>
        <v>#VALUE!</v>
      </c>
      <c r="C121" s="15" t="e">
        <f>'BD01'!M121</f>
        <v>#VALUE!</v>
      </c>
    </row>
    <row r="122" spans="1:3" x14ac:dyDescent="0.35">
      <c r="A122" s="3">
        <v>121</v>
      </c>
      <c r="B122" s="3" t="e">
        <f>'BD01'!L122</f>
        <v>#VALUE!</v>
      </c>
      <c r="C122" s="15" t="e">
        <f>'BD01'!M122</f>
        <v>#VALUE!</v>
      </c>
    </row>
    <row r="123" spans="1:3" x14ac:dyDescent="0.35">
      <c r="A123" s="3">
        <v>122</v>
      </c>
      <c r="B123" s="3" t="e">
        <f>'BD01'!L123</f>
        <v>#VALUE!</v>
      </c>
      <c r="C123" s="15" t="e">
        <f>'BD01'!M123</f>
        <v>#VALUE!</v>
      </c>
    </row>
    <row r="124" spans="1:3" x14ac:dyDescent="0.35">
      <c r="A124" s="3">
        <v>123</v>
      </c>
      <c r="B124" s="3" t="e">
        <f>'BD01'!L124</f>
        <v>#VALUE!</v>
      </c>
      <c r="C124" s="15" t="e">
        <f>'BD01'!M124</f>
        <v>#VALUE!</v>
      </c>
    </row>
    <row r="125" spans="1:3" x14ac:dyDescent="0.35">
      <c r="A125" s="3">
        <v>124</v>
      </c>
      <c r="B125" s="3" t="e">
        <f>'BD01'!L125</f>
        <v>#VALUE!</v>
      </c>
      <c r="C125" s="15" t="e">
        <f>'BD01'!M125</f>
        <v>#VALUE!</v>
      </c>
    </row>
    <row r="126" spans="1:3" x14ac:dyDescent="0.35">
      <c r="A126" s="3">
        <v>125</v>
      </c>
      <c r="B126" s="3" t="e">
        <f>'BD01'!L126</f>
        <v>#VALUE!</v>
      </c>
      <c r="C126" s="15" t="e">
        <f>'BD01'!M126</f>
        <v>#VALUE!</v>
      </c>
    </row>
    <row r="127" spans="1:3" x14ac:dyDescent="0.35">
      <c r="A127" s="3">
        <v>126</v>
      </c>
      <c r="B127" s="3" t="e">
        <f>'BD01'!L127</f>
        <v>#VALUE!</v>
      </c>
      <c r="C127" s="15" t="e">
        <f>'BD01'!M127</f>
        <v>#VALUE!</v>
      </c>
    </row>
    <row r="128" spans="1:3" x14ac:dyDescent="0.35">
      <c r="A128" s="3">
        <v>127</v>
      </c>
      <c r="B128" s="3" t="e">
        <f>'BD01'!L128</f>
        <v>#VALUE!</v>
      </c>
      <c r="C128" s="15" t="e">
        <f>'BD01'!M128</f>
        <v>#VALUE!</v>
      </c>
    </row>
    <row r="129" spans="1:3" x14ac:dyDescent="0.35">
      <c r="A129" s="3">
        <v>128</v>
      </c>
      <c r="B129" s="3" t="e">
        <f>'BD01'!L129</f>
        <v>#VALUE!</v>
      </c>
      <c r="C129" s="15" t="e">
        <f>'BD01'!M129</f>
        <v>#VALUE!</v>
      </c>
    </row>
    <row r="130" spans="1:3" x14ac:dyDescent="0.35">
      <c r="A130" s="3">
        <v>129</v>
      </c>
      <c r="B130" s="3" t="e">
        <f>'BD01'!L130</f>
        <v>#VALUE!</v>
      </c>
      <c r="C130" s="15" t="e">
        <f>'BD01'!M130</f>
        <v>#VALUE!</v>
      </c>
    </row>
    <row r="131" spans="1:3" x14ac:dyDescent="0.35">
      <c r="A131" s="3">
        <v>130</v>
      </c>
      <c r="B131" s="3" t="e">
        <f>'BD01'!L131</f>
        <v>#VALUE!</v>
      </c>
      <c r="C131" s="15" t="e">
        <f>'BD01'!M131</f>
        <v>#VALUE!</v>
      </c>
    </row>
    <row r="132" spans="1:3" x14ac:dyDescent="0.35">
      <c r="A132" s="3">
        <v>131</v>
      </c>
      <c r="B132" s="3" t="e">
        <f>'BD01'!L132</f>
        <v>#VALUE!</v>
      </c>
      <c r="C132" s="15" t="e">
        <f>'BD01'!M132</f>
        <v>#VALUE!</v>
      </c>
    </row>
    <row r="133" spans="1:3" x14ac:dyDescent="0.35">
      <c r="A133" s="3">
        <v>132</v>
      </c>
      <c r="B133" s="3" t="e">
        <f>'BD01'!L133</f>
        <v>#VALUE!</v>
      </c>
      <c r="C133" s="15" t="e">
        <f>'BD01'!M133</f>
        <v>#VALUE!</v>
      </c>
    </row>
    <row r="134" spans="1:3" x14ac:dyDescent="0.35">
      <c r="A134" s="3">
        <v>133</v>
      </c>
      <c r="B134" s="3" t="e">
        <f>'BD01'!L134</f>
        <v>#VALUE!</v>
      </c>
      <c r="C134" s="15" t="e">
        <f>'BD01'!M134</f>
        <v>#VALUE!</v>
      </c>
    </row>
    <row r="135" spans="1:3" x14ac:dyDescent="0.35">
      <c r="A135" s="3">
        <v>134</v>
      </c>
      <c r="B135" s="3" t="e">
        <f>'BD01'!L135</f>
        <v>#VALUE!</v>
      </c>
      <c r="C135" s="15" t="e">
        <f>'BD01'!M135</f>
        <v>#VALUE!</v>
      </c>
    </row>
    <row r="136" spans="1:3" x14ac:dyDescent="0.35">
      <c r="A136" s="3">
        <v>135</v>
      </c>
      <c r="B136" s="3" t="e">
        <f>'BD01'!L136</f>
        <v>#VALUE!</v>
      </c>
      <c r="C136" s="15" t="e">
        <f>'BD01'!M136</f>
        <v>#VALUE!</v>
      </c>
    </row>
    <row r="137" spans="1:3" x14ac:dyDescent="0.35">
      <c r="A137" s="3">
        <v>136</v>
      </c>
      <c r="B137" s="3" t="e">
        <f>'BD01'!L137</f>
        <v>#VALUE!</v>
      </c>
      <c r="C137" s="15" t="e">
        <f>'BD01'!M137</f>
        <v>#VALUE!</v>
      </c>
    </row>
    <row r="138" spans="1:3" x14ac:dyDescent="0.35">
      <c r="A138" s="3">
        <v>137</v>
      </c>
      <c r="B138" s="3" t="e">
        <f>'BD01'!L138</f>
        <v>#VALUE!</v>
      </c>
      <c r="C138" s="15" t="e">
        <f>'BD01'!M138</f>
        <v>#VALUE!</v>
      </c>
    </row>
    <row r="139" spans="1:3" x14ac:dyDescent="0.35">
      <c r="A139" s="3">
        <v>138</v>
      </c>
      <c r="B139" s="3" t="e">
        <f>'BD01'!L139</f>
        <v>#VALUE!</v>
      </c>
      <c r="C139" s="15" t="e">
        <f>'BD01'!M139</f>
        <v>#VALUE!</v>
      </c>
    </row>
    <row r="140" spans="1:3" x14ac:dyDescent="0.35">
      <c r="A140" s="3">
        <v>139</v>
      </c>
      <c r="B140" s="3" t="e">
        <f>'BD01'!L140</f>
        <v>#VALUE!</v>
      </c>
      <c r="C140" s="15" t="e">
        <f>'BD01'!M140</f>
        <v>#VALUE!</v>
      </c>
    </row>
    <row r="141" spans="1:3" x14ac:dyDescent="0.35">
      <c r="A141" s="3">
        <v>140</v>
      </c>
      <c r="B141" s="3" t="e">
        <f>'BD01'!L141</f>
        <v>#VALUE!</v>
      </c>
      <c r="C141" s="15" t="e">
        <f>'BD01'!M141</f>
        <v>#VALUE!</v>
      </c>
    </row>
    <row r="142" spans="1:3" x14ac:dyDescent="0.35">
      <c r="A142" s="3">
        <v>141</v>
      </c>
      <c r="B142" s="3" t="e">
        <f>'BD01'!L142</f>
        <v>#VALUE!</v>
      </c>
      <c r="C142" s="15" t="e">
        <f>'BD01'!M142</f>
        <v>#VALUE!</v>
      </c>
    </row>
    <row r="143" spans="1:3" x14ac:dyDescent="0.35">
      <c r="A143" s="3">
        <v>142</v>
      </c>
      <c r="B143" s="3" t="e">
        <f>'BD01'!L143</f>
        <v>#VALUE!</v>
      </c>
      <c r="C143" s="15" t="e">
        <f>'BD01'!M143</f>
        <v>#VALUE!</v>
      </c>
    </row>
    <row r="144" spans="1:3" x14ac:dyDescent="0.35">
      <c r="A144" s="3">
        <v>143</v>
      </c>
      <c r="B144" s="3" t="e">
        <f>'BD01'!L144</f>
        <v>#VALUE!</v>
      </c>
      <c r="C144" s="15" t="e">
        <f>'BD01'!M144</f>
        <v>#VALUE!</v>
      </c>
    </row>
    <row r="145" spans="1:3" x14ac:dyDescent="0.35">
      <c r="A145" s="3">
        <v>144</v>
      </c>
      <c r="B145" s="3" t="e">
        <f>'BD01'!L145</f>
        <v>#VALUE!</v>
      </c>
      <c r="C145" s="15" t="e">
        <f>'BD01'!M145</f>
        <v>#VALUE!</v>
      </c>
    </row>
    <row r="146" spans="1:3" x14ac:dyDescent="0.35">
      <c r="A146" s="3">
        <v>145</v>
      </c>
      <c r="B146" s="3" t="e">
        <f>'BD01'!L146</f>
        <v>#VALUE!</v>
      </c>
      <c r="C146" s="15" t="e">
        <f>'BD01'!M146</f>
        <v>#VALUE!</v>
      </c>
    </row>
    <row r="147" spans="1:3" x14ac:dyDescent="0.35">
      <c r="A147" s="3">
        <v>146</v>
      </c>
      <c r="B147" s="3" t="e">
        <f>'BD01'!L147</f>
        <v>#VALUE!</v>
      </c>
      <c r="C147" s="15" t="e">
        <f>'BD01'!M147</f>
        <v>#VALUE!</v>
      </c>
    </row>
    <row r="148" spans="1:3" x14ac:dyDescent="0.35">
      <c r="A148" s="3">
        <v>147</v>
      </c>
      <c r="B148" s="3" t="e">
        <f>'BD01'!L148</f>
        <v>#VALUE!</v>
      </c>
      <c r="C148" s="15" t="e">
        <f>'BD01'!M148</f>
        <v>#VALUE!</v>
      </c>
    </row>
    <row r="149" spans="1:3" x14ac:dyDescent="0.35">
      <c r="A149" s="3">
        <v>148</v>
      </c>
      <c r="B149" s="3" t="e">
        <f>'BD01'!L149</f>
        <v>#VALUE!</v>
      </c>
      <c r="C149" s="15" t="e">
        <f>'BD01'!M149</f>
        <v>#VALUE!</v>
      </c>
    </row>
    <row r="150" spans="1:3" x14ac:dyDescent="0.35">
      <c r="A150" s="3">
        <v>149</v>
      </c>
      <c r="B150" s="3" t="e">
        <f>'BD01'!L150</f>
        <v>#VALUE!</v>
      </c>
      <c r="C150" s="15" t="e">
        <f>'BD01'!M150</f>
        <v>#VALUE!</v>
      </c>
    </row>
    <row r="151" spans="1:3" x14ac:dyDescent="0.35">
      <c r="A151" s="3">
        <v>150</v>
      </c>
      <c r="B151" s="3" t="e">
        <f>'BD01'!L151</f>
        <v>#VALUE!</v>
      </c>
      <c r="C151" s="15" t="e">
        <f>'BD01'!M151</f>
        <v>#VALUE!</v>
      </c>
    </row>
    <row r="152" spans="1:3" x14ac:dyDescent="0.35">
      <c r="A152" s="3">
        <v>151</v>
      </c>
      <c r="B152" s="3" t="e">
        <f>'BD01'!L152</f>
        <v>#VALUE!</v>
      </c>
      <c r="C152" s="15" t="e">
        <f>'BD01'!M152</f>
        <v>#VALUE!</v>
      </c>
    </row>
    <row r="153" spans="1:3" x14ac:dyDescent="0.35">
      <c r="A153" s="3">
        <v>152</v>
      </c>
      <c r="B153" s="3" t="e">
        <f>'BD01'!L153</f>
        <v>#VALUE!</v>
      </c>
      <c r="C153" s="15" t="e">
        <f>'BD01'!M153</f>
        <v>#VALUE!</v>
      </c>
    </row>
    <row r="154" spans="1:3" x14ac:dyDescent="0.35">
      <c r="A154" s="3">
        <v>153</v>
      </c>
      <c r="B154" s="3" t="e">
        <f>'BD01'!L154</f>
        <v>#VALUE!</v>
      </c>
      <c r="C154" s="15" t="e">
        <f>'BD01'!M154</f>
        <v>#VALUE!</v>
      </c>
    </row>
    <row r="155" spans="1:3" x14ac:dyDescent="0.35">
      <c r="A155" s="3">
        <v>154</v>
      </c>
      <c r="B155" s="3" t="e">
        <f>'BD01'!L155</f>
        <v>#VALUE!</v>
      </c>
      <c r="C155" s="15" t="e">
        <f>'BD01'!M155</f>
        <v>#VALUE!</v>
      </c>
    </row>
    <row r="156" spans="1:3" x14ac:dyDescent="0.35">
      <c r="A156" s="3">
        <v>155</v>
      </c>
      <c r="B156" s="3" t="e">
        <f>'BD01'!L156</f>
        <v>#VALUE!</v>
      </c>
      <c r="C156" s="15" t="e">
        <f>'BD01'!M156</f>
        <v>#VALUE!</v>
      </c>
    </row>
    <row r="157" spans="1:3" x14ac:dyDescent="0.35">
      <c r="A157" s="3">
        <v>156</v>
      </c>
      <c r="B157" s="3" t="e">
        <f>'BD01'!L157</f>
        <v>#VALUE!</v>
      </c>
      <c r="C157" s="15" t="e">
        <f>'BD01'!M157</f>
        <v>#VALUE!</v>
      </c>
    </row>
    <row r="158" spans="1:3" x14ac:dyDescent="0.35">
      <c r="A158" s="3">
        <v>157</v>
      </c>
      <c r="B158" s="3" t="e">
        <f>'BD01'!L158</f>
        <v>#VALUE!</v>
      </c>
      <c r="C158" s="15" t="e">
        <f>'BD01'!M158</f>
        <v>#VALUE!</v>
      </c>
    </row>
    <row r="159" spans="1:3" x14ac:dyDescent="0.35">
      <c r="A159" s="3">
        <v>158</v>
      </c>
      <c r="B159" s="3" t="e">
        <f>'BD01'!L159</f>
        <v>#VALUE!</v>
      </c>
      <c r="C159" s="15" t="e">
        <f>'BD01'!M159</f>
        <v>#VALUE!</v>
      </c>
    </row>
    <row r="160" spans="1:3" x14ac:dyDescent="0.35">
      <c r="A160" s="3">
        <v>159</v>
      </c>
      <c r="B160" s="3" t="e">
        <f>'BD01'!L160</f>
        <v>#VALUE!</v>
      </c>
      <c r="C160" s="15" t="e">
        <f>'BD01'!M160</f>
        <v>#VALUE!</v>
      </c>
    </row>
    <row r="161" spans="1:3" x14ac:dyDescent="0.35">
      <c r="A161" s="3">
        <v>160</v>
      </c>
      <c r="B161" s="3" t="e">
        <f>'BD01'!L161</f>
        <v>#VALUE!</v>
      </c>
      <c r="C161" s="15" t="e">
        <f>'BD01'!M161</f>
        <v>#VALUE!</v>
      </c>
    </row>
    <row r="162" spans="1:3" x14ac:dyDescent="0.35">
      <c r="A162" s="3">
        <v>161</v>
      </c>
      <c r="B162" s="3" t="e">
        <f>'BD01'!L162</f>
        <v>#VALUE!</v>
      </c>
      <c r="C162" s="15" t="e">
        <f>'BD01'!M162</f>
        <v>#VALUE!</v>
      </c>
    </row>
    <row r="163" spans="1:3" x14ac:dyDescent="0.35">
      <c r="A163" s="3">
        <v>162</v>
      </c>
      <c r="B163" s="3" t="e">
        <f>'BD01'!L163</f>
        <v>#VALUE!</v>
      </c>
      <c r="C163" s="15" t="e">
        <f>'BD01'!M163</f>
        <v>#VALUE!</v>
      </c>
    </row>
    <row r="164" spans="1:3" x14ac:dyDescent="0.35">
      <c r="A164" s="3">
        <v>163</v>
      </c>
      <c r="B164" s="3" t="e">
        <f>'BD01'!L164</f>
        <v>#VALUE!</v>
      </c>
      <c r="C164" s="15" t="e">
        <f>'BD01'!M164</f>
        <v>#VALUE!</v>
      </c>
    </row>
    <row r="165" spans="1:3" x14ac:dyDescent="0.35">
      <c r="A165" s="3">
        <v>164</v>
      </c>
      <c r="B165" s="3" t="e">
        <f>'BD01'!L165</f>
        <v>#VALUE!</v>
      </c>
      <c r="C165" s="15" t="e">
        <f>'BD01'!M165</f>
        <v>#VALUE!</v>
      </c>
    </row>
    <row r="166" spans="1:3" x14ac:dyDescent="0.35">
      <c r="A166" s="3">
        <v>165</v>
      </c>
      <c r="B166" s="3" t="e">
        <f>'BD01'!L166</f>
        <v>#VALUE!</v>
      </c>
      <c r="C166" s="15" t="e">
        <f>'BD01'!M166</f>
        <v>#VALUE!</v>
      </c>
    </row>
    <row r="167" spans="1:3" x14ac:dyDescent="0.35">
      <c r="A167" s="3">
        <v>166</v>
      </c>
      <c r="B167" s="3" t="e">
        <f>'BD01'!L167</f>
        <v>#VALUE!</v>
      </c>
      <c r="C167" s="15" t="e">
        <f>'BD01'!M167</f>
        <v>#VALUE!</v>
      </c>
    </row>
    <row r="168" spans="1:3" x14ac:dyDescent="0.35">
      <c r="A168" s="3">
        <v>167</v>
      </c>
      <c r="B168" s="3" t="e">
        <f>'BD01'!L168</f>
        <v>#VALUE!</v>
      </c>
      <c r="C168" s="15" t="e">
        <f>'BD01'!M168</f>
        <v>#VALUE!</v>
      </c>
    </row>
    <row r="169" spans="1:3" x14ac:dyDescent="0.35">
      <c r="A169" s="3">
        <v>168</v>
      </c>
      <c r="B169" s="3" t="e">
        <f>'BD01'!L169</f>
        <v>#VALUE!</v>
      </c>
      <c r="C169" s="15" t="e">
        <f>'BD01'!M169</f>
        <v>#VALUE!</v>
      </c>
    </row>
    <row r="170" spans="1:3" x14ac:dyDescent="0.35">
      <c r="A170" s="3">
        <v>169</v>
      </c>
      <c r="B170" s="3" t="e">
        <f>'BD01'!L170</f>
        <v>#VALUE!</v>
      </c>
      <c r="C170" s="15" t="e">
        <f>'BD01'!M170</f>
        <v>#VALUE!</v>
      </c>
    </row>
    <row r="171" spans="1:3" x14ac:dyDescent="0.35">
      <c r="A171" s="3">
        <v>170</v>
      </c>
      <c r="B171" s="3" t="e">
        <f>'BD01'!L171</f>
        <v>#VALUE!</v>
      </c>
      <c r="C171" s="15" t="e">
        <f>'BD01'!M171</f>
        <v>#VALUE!</v>
      </c>
    </row>
    <row r="172" spans="1:3" x14ac:dyDescent="0.35">
      <c r="A172" s="3">
        <v>171</v>
      </c>
      <c r="B172" s="3" t="e">
        <f>'BD01'!L172</f>
        <v>#VALUE!</v>
      </c>
      <c r="C172" s="15" t="e">
        <f>'BD01'!M172</f>
        <v>#VALUE!</v>
      </c>
    </row>
    <row r="173" spans="1:3" x14ac:dyDescent="0.35">
      <c r="A173" s="3">
        <v>172</v>
      </c>
      <c r="B173" s="3" t="e">
        <f>'BD01'!L173</f>
        <v>#VALUE!</v>
      </c>
      <c r="C173" s="15" t="e">
        <f>'BD01'!M173</f>
        <v>#VALUE!</v>
      </c>
    </row>
    <row r="174" spans="1:3" x14ac:dyDescent="0.35">
      <c r="A174" s="3">
        <v>173</v>
      </c>
      <c r="B174" s="3" t="e">
        <f>'BD01'!L174</f>
        <v>#VALUE!</v>
      </c>
      <c r="C174" s="15" t="e">
        <f>'BD01'!M174</f>
        <v>#VALUE!</v>
      </c>
    </row>
    <row r="175" spans="1:3" x14ac:dyDescent="0.35">
      <c r="A175" s="3">
        <v>174</v>
      </c>
      <c r="B175" s="3" t="e">
        <f>'BD01'!L175</f>
        <v>#VALUE!</v>
      </c>
      <c r="C175" s="15" t="e">
        <f>'BD01'!M175</f>
        <v>#VALUE!</v>
      </c>
    </row>
    <row r="176" spans="1:3" x14ac:dyDescent="0.35">
      <c r="A176" s="3">
        <v>175</v>
      </c>
      <c r="B176" s="3" t="e">
        <f>'BD01'!L176</f>
        <v>#VALUE!</v>
      </c>
      <c r="C176" s="15" t="e">
        <f>'BD01'!M176</f>
        <v>#VALUE!</v>
      </c>
    </row>
    <row r="177" spans="1:3" x14ac:dyDescent="0.35">
      <c r="A177" s="3">
        <v>176</v>
      </c>
      <c r="B177" s="3" t="e">
        <f>'BD01'!L177</f>
        <v>#VALUE!</v>
      </c>
      <c r="C177" s="15" t="e">
        <f>'BD01'!M177</f>
        <v>#VALUE!</v>
      </c>
    </row>
    <row r="178" spans="1:3" x14ac:dyDescent="0.35">
      <c r="A178" s="3">
        <v>177</v>
      </c>
      <c r="B178" s="3" t="e">
        <f>'BD01'!L178</f>
        <v>#VALUE!</v>
      </c>
      <c r="C178" s="15" t="e">
        <f>'BD01'!M178</f>
        <v>#VALUE!</v>
      </c>
    </row>
    <row r="179" spans="1:3" x14ac:dyDescent="0.35">
      <c r="A179" s="3">
        <v>178</v>
      </c>
      <c r="B179" s="3" t="e">
        <f>'BD01'!L179</f>
        <v>#VALUE!</v>
      </c>
      <c r="C179" s="15" t="e">
        <f>'BD01'!M179</f>
        <v>#VALUE!</v>
      </c>
    </row>
    <row r="180" spans="1:3" x14ac:dyDescent="0.35">
      <c r="A180" s="3">
        <v>179</v>
      </c>
      <c r="B180" s="3" t="e">
        <f>'BD01'!L180</f>
        <v>#VALUE!</v>
      </c>
      <c r="C180" s="15" t="e">
        <f>'BD01'!M180</f>
        <v>#VALUE!</v>
      </c>
    </row>
    <row r="181" spans="1:3" x14ac:dyDescent="0.35">
      <c r="A181" s="3">
        <v>180</v>
      </c>
      <c r="B181" s="3" t="e">
        <f>'BD01'!L181</f>
        <v>#VALUE!</v>
      </c>
      <c r="C181" s="15" t="e">
        <f>'BD01'!M181</f>
        <v>#VALUE!</v>
      </c>
    </row>
    <row r="182" spans="1:3" x14ac:dyDescent="0.35">
      <c r="A182" s="3">
        <v>181</v>
      </c>
      <c r="B182" s="3" t="e">
        <f>'BD01'!L182</f>
        <v>#VALUE!</v>
      </c>
      <c r="C182" s="15" t="e">
        <f>'BD01'!M182</f>
        <v>#VALUE!</v>
      </c>
    </row>
    <row r="183" spans="1:3" x14ac:dyDescent="0.35">
      <c r="A183" s="3">
        <v>182</v>
      </c>
      <c r="B183" s="3" t="e">
        <f>'BD01'!L183</f>
        <v>#VALUE!</v>
      </c>
      <c r="C183" s="15" t="e">
        <f>'BD01'!M183</f>
        <v>#VALUE!</v>
      </c>
    </row>
    <row r="184" spans="1:3" x14ac:dyDescent="0.35">
      <c r="A184" s="3">
        <v>183</v>
      </c>
      <c r="B184" s="3" t="e">
        <f>'BD01'!L184</f>
        <v>#VALUE!</v>
      </c>
      <c r="C184" s="15" t="e">
        <f>'BD01'!M184</f>
        <v>#VALUE!</v>
      </c>
    </row>
    <row r="185" spans="1:3" x14ac:dyDescent="0.35">
      <c r="A185" s="3">
        <v>184</v>
      </c>
      <c r="B185" s="3" t="e">
        <f>'BD01'!L185</f>
        <v>#VALUE!</v>
      </c>
      <c r="C185" s="15" t="e">
        <f>'BD01'!M185</f>
        <v>#VALUE!</v>
      </c>
    </row>
    <row r="186" spans="1:3" x14ac:dyDescent="0.35">
      <c r="A186" s="3">
        <v>185</v>
      </c>
      <c r="B186" s="3" t="e">
        <f>'BD01'!L186</f>
        <v>#VALUE!</v>
      </c>
      <c r="C186" s="15" t="e">
        <f>'BD01'!M186</f>
        <v>#VALUE!</v>
      </c>
    </row>
    <row r="187" spans="1:3" x14ac:dyDescent="0.35">
      <c r="A187" s="3">
        <v>186</v>
      </c>
      <c r="B187" s="3" t="e">
        <f>'BD01'!L187</f>
        <v>#VALUE!</v>
      </c>
      <c r="C187" s="15" t="e">
        <f>'BD01'!M187</f>
        <v>#VALUE!</v>
      </c>
    </row>
    <row r="188" spans="1:3" x14ac:dyDescent="0.35">
      <c r="A188" s="3">
        <v>187</v>
      </c>
      <c r="B188" s="3" t="e">
        <f>'BD01'!L188</f>
        <v>#VALUE!</v>
      </c>
      <c r="C188" s="15" t="e">
        <f>'BD01'!M188</f>
        <v>#VALUE!</v>
      </c>
    </row>
    <row r="189" spans="1:3" x14ac:dyDescent="0.35">
      <c r="A189" s="3">
        <v>188</v>
      </c>
      <c r="B189" s="3" t="e">
        <f>'BD01'!L189</f>
        <v>#VALUE!</v>
      </c>
      <c r="C189" s="15" t="e">
        <f>'BD01'!M189</f>
        <v>#VALUE!</v>
      </c>
    </row>
    <row r="190" spans="1:3" x14ac:dyDescent="0.35">
      <c r="A190" s="3">
        <v>189</v>
      </c>
      <c r="B190" s="3" t="e">
        <f>'BD01'!L190</f>
        <v>#VALUE!</v>
      </c>
      <c r="C190" s="15" t="e">
        <f>'BD01'!M190</f>
        <v>#VALUE!</v>
      </c>
    </row>
    <row r="191" spans="1:3" x14ac:dyDescent="0.35">
      <c r="A191" s="3">
        <v>190</v>
      </c>
      <c r="B191" s="3" t="e">
        <f>'BD01'!L191</f>
        <v>#VALUE!</v>
      </c>
      <c r="C191" s="15" t="e">
        <f>'BD01'!M191</f>
        <v>#VALUE!</v>
      </c>
    </row>
    <row r="192" spans="1:3" x14ac:dyDescent="0.35">
      <c r="A192" s="3">
        <v>191</v>
      </c>
      <c r="B192" s="3" t="e">
        <f>'BD01'!L192</f>
        <v>#VALUE!</v>
      </c>
      <c r="C192" s="15" t="e">
        <f>'BD01'!M192</f>
        <v>#VALUE!</v>
      </c>
    </row>
    <row r="193" spans="1:3" x14ac:dyDescent="0.35">
      <c r="A193" s="3">
        <v>192</v>
      </c>
      <c r="B193" s="3" t="e">
        <f>'BD01'!L193</f>
        <v>#VALUE!</v>
      </c>
      <c r="C193" s="15" t="e">
        <f>'BD01'!M193</f>
        <v>#VALUE!</v>
      </c>
    </row>
    <row r="194" spans="1:3" x14ac:dyDescent="0.35">
      <c r="A194" s="3">
        <v>193</v>
      </c>
      <c r="B194" s="3" t="e">
        <f>'BD01'!L194</f>
        <v>#VALUE!</v>
      </c>
      <c r="C194" s="15" t="e">
        <f>'BD01'!M194</f>
        <v>#VALUE!</v>
      </c>
    </row>
    <row r="195" spans="1:3" x14ac:dyDescent="0.35">
      <c r="A195" s="3">
        <v>194</v>
      </c>
      <c r="B195" s="3" t="e">
        <f>'BD01'!L195</f>
        <v>#VALUE!</v>
      </c>
      <c r="C195" s="15" t="e">
        <f>'BD01'!M195</f>
        <v>#VALUE!</v>
      </c>
    </row>
    <row r="196" spans="1:3" x14ac:dyDescent="0.35">
      <c r="A196" s="3">
        <v>195</v>
      </c>
      <c r="B196" s="3" t="e">
        <f>'BD01'!L196</f>
        <v>#VALUE!</v>
      </c>
      <c r="C196" s="15" t="e">
        <f>'BD01'!M196</f>
        <v>#VALUE!</v>
      </c>
    </row>
    <row r="197" spans="1:3" x14ac:dyDescent="0.35">
      <c r="A197" s="3">
        <v>196</v>
      </c>
      <c r="B197" s="3" t="e">
        <f>'BD01'!L197</f>
        <v>#VALUE!</v>
      </c>
      <c r="C197" s="15" t="e">
        <f>'BD01'!M197</f>
        <v>#VALUE!</v>
      </c>
    </row>
    <row r="198" spans="1:3" x14ac:dyDescent="0.35">
      <c r="A198" s="3">
        <v>197</v>
      </c>
      <c r="B198" s="3" t="e">
        <f>'BD01'!L198</f>
        <v>#VALUE!</v>
      </c>
      <c r="C198" s="15" t="e">
        <f>'BD01'!M198</f>
        <v>#VALUE!</v>
      </c>
    </row>
    <row r="199" spans="1:3" x14ac:dyDescent="0.35">
      <c r="A199" s="3">
        <v>198</v>
      </c>
      <c r="B199" s="3" t="e">
        <f>'BD01'!L199</f>
        <v>#VALUE!</v>
      </c>
      <c r="C199" s="15" t="e">
        <f>'BD01'!M199</f>
        <v>#VALUE!</v>
      </c>
    </row>
    <row r="200" spans="1:3" x14ac:dyDescent="0.35">
      <c r="A200" s="3">
        <v>199</v>
      </c>
      <c r="B200" s="3" t="e">
        <f>'BD01'!L200</f>
        <v>#VALUE!</v>
      </c>
      <c r="C200" s="15" t="e">
        <f>'BD01'!M200</f>
        <v>#VALUE!</v>
      </c>
    </row>
    <row r="201" spans="1:3" x14ac:dyDescent="0.35">
      <c r="A201" s="3">
        <v>200</v>
      </c>
      <c r="B201" s="3" t="e">
        <f>'BD01'!L201</f>
        <v>#VALUE!</v>
      </c>
      <c r="C201" s="15" t="e">
        <f>'BD01'!M201</f>
        <v>#VALUE!</v>
      </c>
    </row>
    <row r="202" spans="1:3" x14ac:dyDescent="0.35">
      <c r="A202" s="3">
        <v>201</v>
      </c>
      <c r="B202" s="3" t="e">
        <f>'BD01'!L202</f>
        <v>#VALUE!</v>
      </c>
      <c r="C202" s="15" t="e">
        <f>'BD01'!M202</f>
        <v>#VALUE!</v>
      </c>
    </row>
    <row r="203" spans="1:3" x14ac:dyDescent="0.35">
      <c r="A203" s="3">
        <v>202</v>
      </c>
      <c r="B203" s="3" t="e">
        <f>'BD01'!L203</f>
        <v>#VALUE!</v>
      </c>
      <c r="C203" s="15" t="e">
        <f>'BD01'!M203</f>
        <v>#VALUE!</v>
      </c>
    </row>
    <row r="204" spans="1:3" x14ac:dyDescent="0.35">
      <c r="A204" s="3">
        <v>203</v>
      </c>
      <c r="B204" s="3" t="e">
        <f>'BD01'!L204</f>
        <v>#VALUE!</v>
      </c>
      <c r="C204" s="15" t="e">
        <f>'BD01'!M204</f>
        <v>#VALUE!</v>
      </c>
    </row>
    <row r="205" spans="1:3" x14ac:dyDescent="0.35">
      <c r="A205" s="3">
        <v>204</v>
      </c>
      <c r="B205" s="3" t="e">
        <f>'BD01'!L205</f>
        <v>#VALUE!</v>
      </c>
      <c r="C205" s="15" t="e">
        <f>'BD01'!M205</f>
        <v>#VALUE!</v>
      </c>
    </row>
    <row r="206" spans="1:3" x14ac:dyDescent="0.35">
      <c r="A206" s="3">
        <v>205</v>
      </c>
      <c r="B206" s="3" t="e">
        <f>'BD01'!L206</f>
        <v>#VALUE!</v>
      </c>
      <c r="C206" s="15" t="e">
        <f>'BD01'!M206</f>
        <v>#VALUE!</v>
      </c>
    </row>
    <row r="207" spans="1:3" x14ac:dyDescent="0.35">
      <c r="A207" s="3">
        <v>206</v>
      </c>
      <c r="B207" s="3" t="e">
        <f>'BD01'!L207</f>
        <v>#VALUE!</v>
      </c>
      <c r="C207" s="15" t="e">
        <f>'BD01'!M207</f>
        <v>#VALUE!</v>
      </c>
    </row>
    <row r="208" spans="1:3" x14ac:dyDescent="0.35">
      <c r="A208" s="3">
        <v>207</v>
      </c>
      <c r="B208" s="3" t="e">
        <f>'BD01'!L208</f>
        <v>#VALUE!</v>
      </c>
      <c r="C208" s="15" t="e">
        <f>'BD01'!M208</f>
        <v>#VALUE!</v>
      </c>
    </row>
    <row r="209" spans="1:3" x14ac:dyDescent="0.35">
      <c r="A209" s="3">
        <v>208</v>
      </c>
      <c r="B209" s="3" t="e">
        <f>'BD01'!L209</f>
        <v>#VALUE!</v>
      </c>
      <c r="C209" s="15" t="e">
        <f>'BD01'!M209</f>
        <v>#VALUE!</v>
      </c>
    </row>
    <row r="210" spans="1:3" x14ac:dyDescent="0.35">
      <c r="A210" s="3">
        <v>209</v>
      </c>
      <c r="B210" s="3" t="e">
        <f>'BD01'!L210</f>
        <v>#VALUE!</v>
      </c>
      <c r="C210" s="15" t="e">
        <f>'BD01'!M210</f>
        <v>#VALUE!</v>
      </c>
    </row>
    <row r="211" spans="1:3" x14ac:dyDescent="0.35">
      <c r="A211" s="3">
        <v>210</v>
      </c>
      <c r="B211" s="3" t="e">
        <f>'BD01'!L211</f>
        <v>#VALUE!</v>
      </c>
      <c r="C211" s="15" t="e">
        <f>'BD01'!M211</f>
        <v>#VALUE!</v>
      </c>
    </row>
    <row r="212" spans="1:3" x14ac:dyDescent="0.35">
      <c r="A212" s="3">
        <v>211</v>
      </c>
      <c r="B212" s="3" t="e">
        <f>'BD01'!L212</f>
        <v>#VALUE!</v>
      </c>
      <c r="C212" s="15" t="e">
        <f>'BD01'!M212</f>
        <v>#VALUE!</v>
      </c>
    </row>
    <row r="213" spans="1:3" x14ac:dyDescent="0.35">
      <c r="A213" s="3">
        <v>212</v>
      </c>
      <c r="B213" s="3" t="e">
        <f>'BD01'!L213</f>
        <v>#VALUE!</v>
      </c>
      <c r="C213" s="15" t="e">
        <f>'BD01'!M213</f>
        <v>#VALUE!</v>
      </c>
    </row>
    <row r="214" spans="1:3" x14ac:dyDescent="0.35">
      <c r="A214" s="3">
        <v>213</v>
      </c>
      <c r="B214" s="3" t="e">
        <f>'BD01'!L214</f>
        <v>#VALUE!</v>
      </c>
      <c r="C214" s="15" t="e">
        <f>'BD01'!M214</f>
        <v>#VALUE!</v>
      </c>
    </row>
    <row r="215" spans="1:3" x14ac:dyDescent="0.35">
      <c r="A215" s="3">
        <v>214</v>
      </c>
      <c r="B215" s="3" t="e">
        <f>'BD01'!L215</f>
        <v>#VALUE!</v>
      </c>
      <c r="C215" s="15" t="e">
        <f>'BD01'!M215</f>
        <v>#VALUE!</v>
      </c>
    </row>
    <row r="216" spans="1:3" x14ac:dyDescent="0.35">
      <c r="A216" s="3">
        <v>215</v>
      </c>
      <c r="B216" s="3" t="e">
        <f>'BD01'!L216</f>
        <v>#VALUE!</v>
      </c>
      <c r="C216" s="15" t="e">
        <f>'BD01'!M216</f>
        <v>#VALUE!</v>
      </c>
    </row>
    <row r="217" spans="1:3" x14ac:dyDescent="0.35">
      <c r="A217" s="3">
        <v>216</v>
      </c>
      <c r="B217" s="3" t="e">
        <f>'BD01'!L217</f>
        <v>#VALUE!</v>
      </c>
      <c r="C217" s="15" t="e">
        <f>'BD01'!M217</f>
        <v>#VALUE!</v>
      </c>
    </row>
    <row r="218" spans="1:3" x14ac:dyDescent="0.35">
      <c r="A218" s="3">
        <v>217</v>
      </c>
      <c r="B218" s="3" t="e">
        <f>'BD01'!L218</f>
        <v>#VALUE!</v>
      </c>
      <c r="C218" s="15" t="e">
        <f>'BD01'!M218</f>
        <v>#VALUE!</v>
      </c>
    </row>
    <row r="219" spans="1:3" x14ac:dyDescent="0.35">
      <c r="A219" s="3">
        <v>218</v>
      </c>
      <c r="B219" s="3" t="e">
        <f>'BD01'!L219</f>
        <v>#VALUE!</v>
      </c>
      <c r="C219" s="15" t="e">
        <f>'BD01'!M219</f>
        <v>#VALUE!</v>
      </c>
    </row>
    <row r="220" spans="1:3" x14ac:dyDescent="0.35">
      <c r="A220" s="3">
        <v>219</v>
      </c>
      <c r="B220" s="3" t="e">
        <f>'BD01'!L220</f>
        <v>#VALUE!</v>
      </c>
      <c r="C220" s="15" t="e">
        <f>'BD01'!M220</f>
        <v>#VALUE!</v>
      </c>
    </row>
    <row r="221" spans="1:3" x14ac:dyDescent="0.35">
      <c r="A221" s="3">
        <v>220</v>
      </c>
      <c r="B221" s="3" t="e">
        <f>'BD01'!L221</f>
        <v>#VALUE!</v>
      </c>
      <c r="C221" s="15" t="e">
        <f>'BD01'!M221</f>
        <v>#VALUE!</v>
      </c>
    </row>
    <row r="222" spans="1:3" x14ac:dyDescent="0.35">
      <c r="A222" s="3">
        <v>221</v>
      </c>
      <c r="B222" s="3" t="e">
        <f>'BD01'!L222</f>
        <v>#VALUE!</v>
      </c>
      <c r="C222" s="15" t="e">
        <f>'BD01'!M222</f>
        <v>#VALUE!</v>
      </c>
    </row>
    <row r="223" spans="1:3" x14ac:dyDescent="0.35">
      <c r="A223" s="3">
        <v>222</v>
      </c>
      <c r="B223" s="3" t="e">
        <f>'BD01'!L223</f>
        <v>#VALUE!</v>
      </c>
      <c r="C223" s="15" t="e">
        <f>'BD01'!M223</f>
        <v>#VALUE!</v>
      </c>
    </row>
    <row r="224" spans="1:3" x14ac:dyDescent="0.35">
      <c r="A224" s="3">
        <v>223</v>
      </c>
      <c r="B224" s="3" t="e">
        <f>'BD01'!L224</f>
        <v>#VALUE!</v>
      </c>
      <c r="C224" s="15" t="e">
        <f>'BD01'!M224</f>
        <v>#VALUE!</v>
      </c>
    </row>
    <row r="225" spans="1:3" x14ac:dyDescent="0.35">
      <c r="A225" s="3">
        <v>224</v>
      </c>
      <c r="B225" s="3" t="e">
        <f>'BD01'!L225</f>
        <v>#VALUE!</v>
      </c>
      <c r="C225" s="15" t="e">
        <f>'BD01'!M225</f>
        <v>#VALUE!</v>
      </c>
    </row>
    <row r="226" spans="1:3" x14ac:dyDescent="0.35">
      <c r="A226" s="3">
        <v>225</v>
      </c>
      <c r="B226" s="3" t="e">
        <f>'BD01'!L226</f>
        <v>#VALUE!</v>
      </c>
      <c r="C226" s="15" t="e">
        <f>'BD01'!M226</f>
        <v>#VALUE!</v>
      </c>
    </row>
    <row r="227" spans="1:3" x14ac:dyDescent="0.35">
      <c r="A227" s="3">
        <v>226</v>
      </c>
      <c r="B227" s="3" t="e">
        <f>'BD01'!L227</f>
        <v>#VALUE!</v>
      </c>
      <c r="C227" s="15" t="e">
        <f>'BD01'!M227</f>
        <v>#VALUE!</v>
      </c>
    </row>
    <row r="228" spans="1:3" x14ac:dyDescent="0.35">
      <c r="A228" s="3">
        <v>227</v>
      </c>
      <c r="B228" s="3" t="e">
        <f>'BD01'!L228</f>
        <v>#VALUE!</v>
      </c>
      <c r="C228" s="15" t="e">
        <f>'BD01'!M228</f>
        <v>#VALUE!</v>
      </c>
    </row>
    <row r="229" spans="1:3" x14ac:dyDescent="0.35">
      <c r="A229" s="3">
        <v>228</v>
      </c>
      <c r="B229" s="3" t="e">
        <f>'BD01'!L229</f>
        <v>#VALUE!</v>
      </c>
      <c r="C229" s="15" t="e">
        <f>'BD01'!M229</f>
        <v>#VALUE!</v>
      </c>
    </row>
    <row r="230" spans="1:3" x14ac:dyDescent="0.35">
      <c r="A230" s="3">
        <v>229</v>
      </c>
      <c r="B230" s="3" t="e">
        <f>'BD01'!L230</f>
        <v>#VALUE!</v>
      </c>
      <c r="C230" s="15" t="e">
        <f>'BD01'!M230</f>
        <v>#VALUE!</v>
      </c>
    </row>
    <row r="231" spans="1:3" x14ac:dyDescent="0.35">
      <c r="A231" s="3">
        <v>230</v>
      </c>
      <c r="B231" s="3" t="e">
        <f>'BD01'!L231</f>
        <v>#VALUE!</v>
      </c>
      <c r="C231" s="15" t="e">
        <f>'BD01'!M231</f>
        <v>#VALUE!</v>
      </c>
    </row>
    <row r="232" spans="1:3" x14ac:dyDescent="0.35">
      <c r="A232" s="3">
        <v>231</v>
      </c>
      <c r="B232" s="3" t="e">
        <f>'BD01'!L232</f>
        <v>#VALUE!</v>
      </c>
      <c r="C232" s="15" t="e">
        <f>'BD01'!M232</f>
        <v>#VALUE!</v>
      </c>
    </row>
    <row r="233" spans="1:3" x14ac:dyDescent="0.35">
      <c r="A233" s="3">
        <v>232</v>
      </c>
      <c r="B233" s="3" t="e">
        <f>'BD01'!L233</f>
        <v>#VALUE!</v>
      </c>
      <c r="C233" s="15" t="e">
        <f>'BD01'!M233</f>
        <v>#VALUE!</v>
      </c>
    </row>
    <row r="234" spans="1:3" x14ac:dyDescent="0.35">
      <c r="A234" s="3">
        <v>233</v>
      </c>
      <c r="B234" s="3" t="e">
        <f>'BD01'!L234</f>
        <v>#VALUE!</v>
      </c>
      <c r="C234" s="15" t="e">
        <f>'BD01'!M234</f>
        <v>#VALUE!</v>
      </c>
    </row>
    <row r="235" spans="1:3" x14ac:dyDescent="0.35">
      <c r="A235" s="3">
        <v>234</v>
      </c>
      <c r="B235" s="3" t="e">
        <f>'BD01'!L235</f>
        <v>#VALUE!</v>
      </c>
      <c r="C235" s="15" t="e">
        <f>'BD01'!M235</f>
        <v>#VALUE!</v>
      </c>
    </row>
    <row r="236" spans="1:3" x14ac:dyDescent="0.35">
      <c r="A236" s="3">
        <v>235</v>
      </c>
      <c r="B236" s="3" t="e">
        <f>'BD01'!L236</f>
        <v>#VALUE!</v>
      </c>
      <c r="C236" s="15" t="e">
        <f>'BD01'!M236</f>
        <v>#VALUE!</v>
      </c>
    </row>
    <row r="237" spans="1:3" x14ac:dyDescent="0.35">
      <c r="A237" s="3">
        <v>236</v>
      </c>
      <c r="B237" s="3" t="e">
        <f>'BD01'!L237</f>
        <v>#VALUE!</v>
      </c>
      <c r="C237" s="15" t="e">
        <f>'BD01'!M237</f>
        <v>#VALUE!</v>
      </c>
    </row>
    <row r="238" spans="1:3" x14ac:dyDescent="0.35">
      <c r="A238" s="3">
        <v>237</v>
      </c>
      <c r="B238" s="3" t="e">
        <f>'BD01'!L238</f>
        <v>#VALUE!</v>
      </c>
      <c r="C238" s="15" t="e">
        <f>'BD01'!M238</f>
        <v>#VALUE!</v>
      </c>
    </row>
    <row r="239" spans="1:3" x14ac:dyDescent="0.35">
      <c r="A239" s="3">
        <v>238</v>
      </c>
      <c r="B239" s="3" t="e">
        <f>'BD01'!L239</f>
        <v>#VALUE!</v>
      </c>
      <c r="C239" s="15" t="e">
        <f>'BD01'!M239</f>
        <v>#VALUE!</v>
      </c>
    </row>
    <row r="240" spans="1:3" x14ac:dyDescent="0.35">
      <c r="A240" s="3">
        <v>239</v>
      </c>
      <c r="B240" s="3" t="e">
        <f>'BD01'!L240</f>
        <v>#VALUE!</v>
      </c>
      <c r="C240" s="15" t="e">
        <f>'BD01'!M240</f>
        <v>#VALUE!</v>
      </c>
    </row>
    <row r="241" spans="1:3" x14ac:dyDescent="0.35">
      <c r="A241" s="3">
        <v>240</v>
      </c>
      <c r="B241" s="3" t="e">
        <f>'BD01'!L241</f>
        <v>#VALUE!</v>
      </c>
      <c r="C241" s="15" t="e">
        <f>'BD01'!M241</f>
        <v>#VALUE!</v>
      </c>
    </row>
    <row r="242" spans="1:3" x14ac:dyDescent="0.35">
      <c r="A242" s="3">
        <v>241</v>
      </c>
      <c r="B242" s="3" t="e">
        <f>'BD01'!L242</f>
        <v>#VALUE!</v>
      </c>
      <c r="C242" s="15" t="e">
        <f>'BD01'!M242</f>
        <v>#VALUE!</v>
      </c>
    </row>
    <row r="243" spans="1:3" x14ac:dyDescent="0.35">
      <c r="A243" s="3">
        <v>242</v>
      </c>
      <c r="B243" s="3" t="e">
        <f>'BD01'!L243</f>
        <v>#VALUE!</v>
      </c>
      <c r="C243" s="15" t="e">
        <f>'BD01'!M243</f>
        <v>#VALUE!</v>
      </c>
    </row>
    <row r="244" spans="1:3" x14ac:dyDescent="0.35">
      <c r="A244" s="3">
        <v>243</v>
      </c>
      <c r="B244" s="3" t="e">
        <f>'BD01'!L244</f>
        <v>#VALUE!</v>
      </c>
      <c r="C244" s="15" t="e">
        <f>'BD01'!M244</f>
        <v>#VALUE!</v>
      </c>
    </row>
    <row r="245" spans="1:3" x14ac:dyDescent="0.35">
      <c r="A245" s="3">
        <v>244</v>
      </c>
      <c r="B245" s="3" t="e">
        <f>'BD01'!L245</f>
        <v>#VALUE!</v>
      </c>
      <c r="C245" s="15" t="e">
        <f>'BD01'!M245</f>
        <v>#VALUE!</v>
      </c>
    </row>
    <row r="246" spans="1:3" x14ac:dyDescent="0.35">
      <c r="A246" s="3">
        <v>245</v>
      </c>
      <c r="B246" s="3" t="e">
        <f>'BD01'!L246</f>
        <v>#VALUE!</v>
      </c>
      <c r="C246" s="15" t="e">
        <f>'BD01'!M246</f>
        <v>#VALUE!</v>
      </c>
    </row>
    <row r="247" spans="1:3" x14ac:dyDescent="0.35">
      <c r="A247" s="3">
        <v>246</v>
      </c>
      <c r="B247" s="3" t="e">
        <f>'BD01'!L247</f>
        <v>#VALUE!</v>
      </c>
      <c r="C247" s="15" t="e">
        <f>'BD01'!M247</f>
        <v>#VALUE!</v>
      </c>
    </row>
    <row r="248" spans="1:3" x14ac:dyDescent="0.35">
      <c r="A248" s="3">
        <v>247</v>
      </c>
      <c r="B248" s="3" t="e">
        <f>'BD01'!L248</f>
        <v>#VALUE!</v>
      </c>
      <c r="C248" s="15" t="e">
        <f>'BD01'!M248</f>
        <v>#VALUE!</v>
      </c>
    </row>
    <row r="249" spans="1:3" x14ac:dyDescent="0.35">
      <c r="A249" s="3">
        <v>248</v>
      </c>
      <c r="B249" s="3" t="e">
        <f>'BD01'!L249</f>
        <v>#VALUE!</v>
      </c>
      <c r="C249" s="15" t="e">
        <f>'BD01'!M249</f>
        <v>#VALUE!</v>
      </c>
    </row>
    <row r="250" spans="1:3" x14ac:dyDescent="0.35">
      <c r="A250" s="3">
        <v>249</v>
      </c>
      <c r="B250" s="3" t="e">
        <f>'BD01'!L250</f>
        <v>#VALUE!</v>
      </c>
      <c r="C250" s="15" t="e">
        <f>'BD01'!M250</f>
        <v>#VALUE!</v>
      </c>
    </row>
    <row r="251" spans="1:3" x14ac:dyDescent="0.35">
      <c r="A251" s="3">
        <v>250</v>
      </c>
      <c r="B251" s="3" t="e">
        <f>'BD01'!L251</f>
        <v>#VALUE!</v>
      </c>
      <c r="C251" s="15" t="e">
        <f>'BD01'!M251</f>
        <v>#VALUE!</v>
      </c>
    </row>
    <row r="252" spans="1:3" x14ac:dyDescent="0.35">
      <c r="A252" s="3">
        <v>251</v>
      </c>
      <c r="B252" s="3" t="e">
        <f>'BD01'!L252</f>
        <v>#VALUE!</v>
      </c>
      <c r="C252" s="15" t="e">
        <f>'BD01'!M252</f>
        <v>#VALUE!</v>
      </c>
    </row>
    <row r="253" spans="1:3" x14ac:dyDescent="0.35">
      <c r="A253" s="3">
        <v>252</v>
      </c>
      <c r="B253" s="3" t="e">
        <f>'BD01'!L253</f>
        <v>#VALUE!</v>
      </c>
      <c r="C253" s="15" t="e">
        <f>'BD01'!M253</f>
        <v>#VALUE!</v>
      </c>
    </row>
    <row r="254" spans="1:3" x14ac:dyDescent="0.35">
      <c r="A254" s="3">
        <v>253</v>
      </c>
      <c r="B254" s="3" t="e">
        <f>'BD01'!L254</f>
        <v>#VALUE!</v>
      </c>
      <c r="C254" s="15" t="e">
        <f>'BD01'!M254</f>
        <v>#VALUE!</v>
      </c>
    </row>
    <row r="255" spans="1:3" x14ac:dyDescent="0.35">
      <c r="A255" s="3">
        <v>254</v>
      </c>
      <c r="B255" s="3" t="e">
        <f>'BD01'!L255</f>
        <v>#VALUE!</v>
      </c>
      <c r="C255" s="15" t="e">
        <f>'BD01'!M255</f>
        <v>#VALUE!</v>
      </c>
    </row>
    <row r="256" spans="1:3" x14ac:dyDescent="0.35">
      <c r="A256" s="3">
        <v>255</v>
      </c>
      <c r="B256" s="3" t="e">
        <f>'BD01'!L256</f>
        <v>#VALUE!</v>
      </c>
      <c r="C256" s="15" t="e">
        <f>'BD01'!M256</f>
        <v>#VALUE!</v>
      </c>
    </row>
    <row r="257" spans="1:3" x14ac:dyDescent="0.35">
      <c r="A257" s="3">
        <v>256</v>
      </c>
      <c r="B257" s="3" t="e">
        <f>'BD01'!L257</f>
        <v>#VALUE!</v>
      </c>
      <c r="C257" s="15" t="e">
        <f>'BD01'!M257</f>
        <v>#VALUE!</v>
      </c>
    </row>
    <row r="258" spans="1:3" x14ac:dyDescent="0.35">
      <c r="A258" s="3">
        <v>257</v>
      </c>
      <c r="B258" s="3" t="e">
        <f>'BD01'!L258</f>
        <v>#VALUE!</v>
      </c>
      <c r="C258" s="15" t="e">
        <f>'BD01'!M258</f>
        <v>#VALUE!</v>
      </c>
    </row>
    <row r="259" spans="1:3" x14ac:dyDescent="0.35">
      <c r="A259" s="3">
        <v>258</v>
      </c>
      <c r="B259" s="3" t="e">
        <f>'BD01'!L259</f>
        <v>#VALUE!</v>
      </c>
      <c r="C259" s="15" t="e">
        <f>'BD01'!M259</f>
        <v>#VALUE!</v>
      </c>
    </row>
    <row r="260" spans="1:3" x14ac:dyDescent="0.35">
      <c r="A260" s="3">
        <v>259</v>
      </c>
      <c r="B260" s="3" t="e">
        <f>'BD01'!L260</f>
        <v>#VALUE!</v>
      </c>
      <c r="C260" s="15" t="e">
        <f>'BD01'!M260</f>
        <v>#VALUE!</v>
      </c>
    </row>
    <row r="261" spans="1:3" x14ac:dyDescent="0.35">
      <c r="A261" s="3">
        <v>260</v>
      </c>
      <c r="B261" s="3" t="e">
        <f>'BD01'!L261</f>
        <v>#VALUE!</v>
      </c>
      <c r="C261" s="15" t="e">
        <f>'BD01'!M261</f>
        <v>#VALUE!</v>
      </c>
    </row>
    <row r="262" spans="1:3" x14ac:dyDescent="0.35">
      <c r="A262" s="3">
        <v>261</v>
      </c>
      <c r="B262" s="3" t="e">
        <f>'BD01'!L262</f>
        <v>#VALUE!</v>
      </c>
      <c r="C262" s="15" t="e">
        <f>'BD01'!M262</f>
        <v>#VALUE!</v>
      </c>
    </row>
    <row r="263" spans="1:3" x14ac:dyDescent="0.35">
      <c r="A263" s="3">
        <v>262</v>
      </c>
      <c r="B263" s="3" t="e">
        <f>'BD01'!L263</f>
        <v>#VALUE!</v>
      </c>
      <c r="C263" s="15" t="e">
        <f>'BD01'!M263</f>
        <v>#VALUE!</v>
      </c>
    </row>
    <row r="264" spans="1:3" x14ac:dyDescent="0.35">
      <c r="A264" s="3">
        <v>263</v>
      </c>
      <c r="B264" s="3" t="e">
        <f>'BD01'!L264</f>
        <v>#VALUE!</v>
      </c>
      <c r="C264" s="15" t="e">
        <f>'BD01'!M264</f>
        <v>#VALUE!</v>
      </c>
    </row>
    <row r="265" spans="1:3" x14ac:dyDescent="0.35">
      <c r="A265" s="3">
        <v>264</v>
      </c>
      <c r="B265" s="3" t="e">
        <f>'BD01'!L265</f>
        <v>#VALUE!</v>
      </c>
      <c r="C265" s="15" t="e">
        <f>'BD01'!M265</f>
        <v>#VALUE!</v>
      </c>
    </row>
    <row r="266" spans="1:3" x14ac:dyDescent="0.35">
      <c r="A266" s="3">
        <v>265</v>
      </c>
      <c r="B266" s="3" t="e">
        <f>'BD01'!L266</f>
        <v>#VALUE!</v>
      </c>
      <c r="C266" s="15" t="e">
        <f>'BD01'!M266</f>
        <v>#VALUE!</v>
      </c>
    </row>
    <row r="267" spans="1:3" x14ac:dyDescent="0.35">
      <c r="A267" s="3">
        <v>266</v>
      </c>
      <c r="B267" s="3" t="e">
        <f>'BD01'!L267</f>
        <v>#VALUE!</v>
      </c>
      <c r="C267" s="15" t="e">
        <f>'BD01'!M267</f>
        <v>#VALUE!</v>
      </c>
    </row>
    <row r="268" spans="1:3" x14ac:dyDescent="0.35">
      <c r="A268" s="3">
        <v>267</v>
      </c>
      <c r="B268" s="3" t="e">
        <f>'BD01'!L268</f>
        <v>#VALUE!</v>
      </c>
      <c r="C268" s="15" t="e">
        <f>'BD01'!M268</f>
        <v>#VALUE!</v>
      </c>
    </row>
    <row r="269" spans="1:3" x14ac:dyDescent="0.35">
      <c r="A269" s="3">
        <v>268</v>
      </c>
      <c r="B269" s="3" t="e">
        <f>'BD01'!L269</f>
        <v>#VALUE!</v>
      </c>
      <c r="C269" s="15" t="e">
        <f>'BD01'!M269</f>
        <v>#VALUE!</v>
      </c>
    </row>
    <row r="270" spans="1:3" x14ac:dyDescent="0.35">
      <c r="A270" s="3">
        <v>269</v>
      </c>
      <c r="B270" s="3" t="e">
        <f>'BD01'!L270</f>
        <v>#VALUE!</v>
      </c>
      <c r="C270" s="15" t="e">
        <f>'BD01'!M270</f>
        <v>#VALUE!</v>
      </c>
    </row>
    <row r="271" spans="1:3" x14ac:dyDescent="0.35">
      <c r="A271" s="3">
        <v>270</v>
      </c>
      <c r="B271" s="3" t="e">
        <f>'BD01'!L271</f>
        <v>#VALUE!</v>
      </c>
      <c r="C271" s="15" t="e">
        <f>'BD01'!M271</f>
        <v>#VALUE!</v>
      </c>
    </row>
    <row r="272" spans="1:3" x14ac:dyDescent="0.35">
      <c r="A272" s="3">
        <v>271</v>
      </c>
      <c r="B272" s="3" t="e">
        <f>'BD01'!L272</f>
        <v>#VALUE!</v>
      </c>
      <c r="C272" s="15" t="e">
        <f>'BD01'!M272</f>
        <v>#VALUE!</v>
      </c>
    </row>
    <row r="273" spans="1:3" x14ac:dyDescent="0.35">
      <c r="A273" s="3">
        <v>272</v>
      </c>
      <c r="B273" s="3" t="e">
        <f>'BD01'!L273</f>
        <v>#VALUE!</v>
      </c>
      <c r="C273" s="15" t="e">
        <f>'BD01'!M273</f>
        <v>#VALUE!</v>
      </c>
    </row>
    <row r="274" spans="1:3" x14ac:dyDescent="0.35">
      <c r="A274" s="3">
        <v>273</v>
      </c>
      <c r="B274" s="3" t="e">
        <f>'BD01'!L274</f>
        <v>#VALUE!</v>
      </c>
      <c r="C274" s="15" t="e">
        <f>'BD01'!M274</f>
        <v>#VALUE!</v>
      </c>
    </row>
    <row r="275" spans="1:3" x14ac:dyDescent="0.35">
      <c r="A275" s="3">
        <v>274</v>
      </c>
      <c r="B275" s="3" t="e">
        <f>'BD01'!L275</f>
        <v>#VALUE!</v>
      </c>
      <c r="C275" s="15" t="e">
        <f>'BD01'!M275</f>
        <v>#VALUE!</v>
      </c>
    </row>
    <row r="276" spans="1:3" x14ac:dyDescent="0.35">
      <c r="A276" s="3">
        <v>275</v>
      </c>
      <c r="B276" s="3" t="e">
        <f>'BD01'!L276</f>
        <v>#VALUE!</v>
      </c>
      <c r="C276" s="15" t="e">
        <f>'BD01'!M276</f>
        <v>#VALUE!</v>
      </c>
    </row>
    <row r="277" spans="1:3" x14ac:dyDescent="0.35">
      <c r="A277" s="3">
        <v>276</v>
      </c>
      <c r="B277" s="3" t="e">
        <f>'BD01'!L277</f>
        <v>#VALUE!</v>
      </c>
      <c r="C277" s="15" t="e">
        <f>'BD01'!M277</f>
        <v>#VALUE!</v>
      </c>
    </row>
    <row r="278" spans="1:3" x14ac:dyDescent="0.35">
      <c r="A278" s="3">
        <v>277</v>
      </c>
      <c r="B278" s="3" t="e">
        <f>'BD01'!L278</f>
        <v>#VALUE!</v>
      </c>
      <c r="C278" s="15" t="e">
        <f>'BD01'!M278</f>
        <v>#VALUE!</v>
      </c>
    </row>
    <row r="279" spans="1:3" x14ac:dyDescent="0.35">
      <c r="A279" s="3">
        <v>278</v>
      </c>
      <c r="B279" s="3" t="e">
        <f>'BD01'!L279</f>
        <v>#VALUE!</v>
      </c>
      <c r="C279" s="15" t="e">
        <f>'BD01'!M279</f>
        <v>#VALUE!</v>
      </c>
    </row>
    <row r="280" spans="1:3" x14ac:dyDescent="0.35">
      <c r="A280" s="3">
        <v>279</v>
      </c>
      <c r="B280" s="3" t="e">
        <f>'BD01'!L280</f>
        <v>#VALUE!</v>
      </c>
      <c r="C280" s="15" t="e">
        <f>'BD01'!M280</f>
        <v>#VALUE!</v>
      </c>
    </row>
    <row r="281" spans="1:3" x14ac:dyDescent="0.35">
      <c r="A281" s="3">
        <v>280</v>
      </c>
      <c r="B281" s="3" t="e">
        <f>'BD01'!L281</f>
        <v>#VALUE!</v>
      </c>
      <c r="C281" s="15" t="e">
        <f>'BD01'!M281</f>
        <v>#VALUE!</v>
      </c>
    </row>
    <row r="282" spans="1:3" x14ac:dyDescent="0.35">
      <c r="A282" s="3">
        <v>281</v>
      </c>
      <c r="B282" s="3" t="e">
        <f>'BD01'!L282</f>
        <v>#VALUE!</v>
      </c>
      <c r="C282" s="15" t="e">
        <f>'BD01'!M282</f>
        <v>#VALUE!</v>
      </c>
    </row>
    <row r="283" spans="1:3" x14ac:dyDescent="0.35">
      <c r="A283" s="3">
        <v>282</v>
      </c>
      <c r="B283" s="3" t="e">
        <f>'BD01'!L283</f>
        <v>#VALUE!</v>
      </c>
      <c r="C283" s="15" t="e">
        <f>'BD01'!M283</f>
        <v>#VALUE!</v>
      </c>
    </row>
    <row r="284" spans="1:3" x14ac:dyDescent="0.35">
      <c r="A284" s="3">
        <v>283</v>
      </c>
      <c r="B284" s="3" t="e">
        <f>'BD01'!L284</f>
        <v>#VALUE!</v>
      </c>
      <c r="C284" s="15" t="e">
        <f>'BD01'!M284</f>
        <v>#VALUE!</v>
      </c>
    </row>
    <row r="285" spans="1:3" x14ac:dyDescent="0.35">
      <c r="A285" s="3">
        <v>284</v>
      </c>
      <c r="B285" s="3" t="e">
        <f>'BD01'!L285</f>
        <v>#VALUE!</v>
      </c>
      <c r="C285" s="15" t="e">
        <f>'BD01'!M285</f>
        <v>#VALUE!</v>
      </c>
    </row>
    <row r="286" spans="1:3" x14ac:dyDescent="0.35">
      <c r="A286" s="3">
        <v>285</v>
      </c>
      <c r="B286" s="3" t="e">
        <f>'BD01'!L286</f>
        <v>#VALUE!</v>
      </c>
      <c r="C286" s="15" t="e">
        <f>'BD01'!M286</f>
        <v>#VALUE!</v>
      </c>
    </row>
    <row r="287" spans="1:3" x14ac:dyDescent="0.35">
      <c r="A287" s="3">
        <v>286</v>
      </c>
      <c r="B287" s="3" t="e">
        <f>'BD01'!L287</f>
        <v>#VALUE!</v>
      </c>
      <c r="C287" s="15" t="e">
        <f>'BD01'!M287</f>
        <v>#VALUE!</v>
      </c>
    </row>
    <row r="288" spans="1:3" x14ac:dyDescent="0.35">
      <c r="A288" s="3">
        <v>287</v>
      </c>
      <c r="B288" s="3" t="e">
        <f>'BD01'!L288</f>
        <v>#VALUE!</v>
      </c>
      <c r="C288" s="15" t="e">
        <f>'BD01'!M288</f>
        <v>#VALUE!</v>
      </c>
    </row>
    <row r="289" spans="1:3" x14ac:dyDescent="0.35">
      <c r="A289" s="3">
        <v>288</v>
      </c>
      <c r="B289" s="3" t="e">
        <f>'BD01'!L289</f>
        <v>#VALUE!</v>
      </c>
      <c r="C289" s="15" t="e">
        <f>'BD01'!M289</f>
        <v>#VALUE!</v>
      </c>
    </row>
    <row r="290" spans="1:3" x14ac:dyDescent="0.35">
      <c r="A290" s="3">
        <v>289</v>
      </c>
      <c r="B290" s="3" t="e">
        <f>'BD01'!L290</f>
        <v>#VALUE!</v>
      </c>
      <c r="C290" s="15" t="e">
        <f>'BD01'!M290</f>
        <v>#VALUE!</v>
      </c>
    </row>
    <row r="291" spans="1:3" x14ac:dyDescent="0.35">
      <c r="A291" s="3">
        <v>290</v>
      </c>
      <c r="B291" s="3" t="e">
        <f>'BD01'!L291</f>
        <v>#VALUE!</v>
      </c>
      <c r="C291" s="15" t="e">
        <f>'BD01'!M291</f>
        <v>#VALUE!</v>
      </c>
    </row>
    <row r="292" spans="1:3" x14ac:dyDescent="0.35">
      <c r="A292" s="3">
        <v>291</v>
      </c>
      <c r="B292" s="3" t="e">
        <f>'BD01'!L292</f>
        <v>#VALUE!</v>
      </c>
      <c r="C292" s="15" t="e">
        <f>'BD01'!M292</f>
        <v>#VALUE!</v>
      </c>
    </row>
    <row r="293" spans="1:3" x14ac:dyDescent="0.35">
      <c r="A293" s="3">
        <v>292</v>
      </c>
      <c r="B293" s="3" t="e">
        <f>'BD01'!L293</f>
        <v>#VALUE!</v>
      </c>
      <c r="C293" s="15" t="e">
        <f>'BD01'!M293</f>
        <v>#VALUE!</v>
      </c>
    </row>
    <row r="294" spans="1:3" x14ac:dyDescent="0.35">
      <c r="A294" s="3">
        <v>293</v>
      </c>
      <c r="B294" s="3" t="e">
        <f>'BD01'!L294</f>
        <v>#VALUE!</v>
      </c>
      <c r="C294" s="15" t="e">
        <f>'BD01'!M294</f>
        <v>#VALUE!</v>
      </c>
    </row>
    <row r="295" spans="1:3" x14ac:dyDescent="0.35">
      <c r="A295" s="3">
        <v>294</v>
      </c>
      <c r="B295" s="3" t="e">
        <f>'BD01'!L295</f>
        <v>#VALUE!</v>
      </c>
      <c r="C295" s="15" t="e">
        <f>'BD01'!M295</f>
        <v>#VALUE!</v>
      </c>
    </row>
    <row r="296" spans="1:3" x14ac:dyDescent="0.35">
      <c r="A296" s="3">
        <v>295</v>
      </c>
      <c r="B296" s="3" t="e">
        <f>'BD01'!L296</f>
        <v>#VALUE!</v>
      </c>
      <c r="C296" s="15" t="e">
        <f>'BD01'!M296</f>
        <v>#VALUE!</v>
      </c>
    </row>
    <row r="297" spans="1:3" x14ac:dyDescent="0.35">
      <c r="A297" s="3">
        <v>296</v>
      </c>
      <c r="B297" s="3" t="e">
        <f>'BD01'!L297</f>
        <v>#VALUE!</v>
      </c>
      <c r="C297" s="15" t="e">
        <f>'BD01'!M297</f>
        <v>#VALUE!</v>
      </c>
    </row>
    <row r="298" spans="1:3" x14ac:dyDescent="0.35">
      <c r="A298" s="3">
        <v>297</v>
      </c>
      <c r="B298" s="3" t="e">
        <f>'BD01'!L298</f>
        <v>#VALUE!</v>
      </c>
      <c r="C298" s="15" t="e">
        <f>'BD01'!M298</f>
        <v>#VALUE!</v>
      </c>
    </row>
    <row r="299" spans="1:3" x14ac:dyDescent="0.35">
      <c r="A299" s="3">
        <v>298</v>
      </c>
      <c r="B299" s="3" t="e">
        <f>'BD01'!L299</f>
        <v>#VALUE!</v>
      </c>
      <c r="C299" s="15" t="e">
        <f>'BD01'!M299</f>
        <v>#VALUE!</v>
      </c>
    </row>
    <row r="300" spans="1:3" x14ac:dyDescent="0.35">
      <c r="A300" s="3">
        <v>299</v>
      </c>
      <c r="B300" s="3" t="e">
        <f>'BD01'!L300</f>
        <v>#VALUE!</v>
      </c>
      <c r="C300" s="15" t="e">
        <f>'BD01'!M300</f>
        <v>#VALUE!</v>
      </c>
    </row>
    <row r="301" spans="1:3" x14ac:dyDescent="0.35">
      <c r="A301" s="3">
        <v>300</v>
      </c>
      <c r="B301" s="3" t="e">
        <f>'BD01'!L301</f>
        <v>#VALUE!</v>
      </c>
      <c r="C301" s="15" t="e">
        <f>'BD01'!M301</f>
        <v>#VALUE!</v>
      </c>
    </row>
    <row r="302" spans="1:3" x14ac:dyDescent="0.35">
      <c r="A302" s="3">
        <v>301</v>
      </c>
      <c r="B302" s="3" t="e">
        <f>'BD01'!L302</f>
        <v>#VALUE!</v>
      </c>
      <c r="C302" s="15" t="e">
        <f>'BD01'!M302</f>
        <v>#VALUE!</v>
      </c>
    </row>
    <row r="303" spans="1:3" x14ac:dyDescent="0.35">
      <c r="A303" s="3">
        <v>302</v>
      </c>
      <c r="B303" s="3" t="e">
        <f>'BD01'!L303</f>
        <v>#VALUE!</v>
      </c>
      <c r="C303" s="15" t="e">
        <f>'BD01'!M303</f>
        <v>#VALUE!</v>
      </c>
    </row>
    <row r="304" spans="1:3" x14ac:dyDescent="0.35">
      <c r="A304" s="3">
        <v>303</v>
      </c>
      <c r="B304" s="3" t="e">
        <f>'BD01'!L304</f>
        <v>#VALUE!</v>
      </c>
      <c r="C304" s="15" t="e">
        <f>'BD01'!M304</f>
        <v>#VALUE!</v>
      </c>
    </row>
    <row r="305" spans="1:3" x14ac:dyDescent="0.35">
      <c r="A305" s="3">
        <v>304</v>
      </c>
      <c r="B305" s="3" t="e">
        <f>'BD01'!L305</f>
        <v>#VALUE!</v>
      </c>
      <c r="C305" s="15" t="e">
        <f>'BD01'!M305</f>
        <v>#VALUE!</v>
      </c>
    </row>
    <row r="306" spans="1:3" x14ac:dyDescent="0.35">
      <c r="A306" s="3">
        <v>305</v>
      </c>
      <c r="B306" s="3" t="e">
        <f>'BD01'!L306</f>
        <v>#VALUE!</v>
      </c>
      <c r="C306" s="15" t="e">
        <f>'BD01'!M306</f>
        <v>#VALUE!</v>
      </c>
    </row>
    <row r="307" spans="1:3" x14ac:dyDescent="0.35">
      <c r="A307" s="3">
        <v>306</v>
      </c>
      <c r="B307" s="3" t="e">
        <f>'BD01'!L307</f>
        <v>#VALUE!</v>
      </c>
      <c r="C307" s="15" t="e">
        <f>'BD01'!M307</f>
        <v>#VALUE!</v>
      </c>
    </row>
    <row r="308" spans="1:3" x14ac:dyDescent="0.35">
      <c r="A308" s="3">
        <v>307</v>
      </c>
      <c r="B308" s="3" t="e">
        <f>'BD01'!L308</f>
        <v>#VALUE!</v>
      </c>
      <c r="C308" s="15" t="e">
        <f>'BD01'!M308</f>
        <v>#VALUE!</v>
      </c>
    </row>
    <row r="309" spans="1:3" x14ac:dyDescent="0.35">
      <c r="A309" s="3">
        <v>308</v>
      </c>
      <c r="B309" s="3" t="e">
        <f>'BD01'!L309</f>
        <v>#VALUE!</v>
      </c>
      <c r="C309" s="15" t="e">
        <f>'BD01'!M309</f>
        <v>#VALUE!</v>
      </c>
    </row>
    <row r="310" spans="1:3" x14ac:dyDescent="0.35">
      <c r="A310" s="3">
        <v>309</v>
      </c>
      <c r="B310" s="3" t="e">
        <f>'BD01'!L310</f>
        <v>#VALUE!</v>
      </c>
      <c r="C310" s="15" t="e">
        <f>'BD01'!M310</f>
        <v>#VALUE!</v>
      </c>
    </row>
    <row r="311" spans="1:3" x14ac:dyDescent="0.35">
      <c r="A311" s="3">
        <v>310</v>
      </c>
      <c r="B311" s="3" t="e">
        <f>'BD01'!L311</f>
        <v>#VALUE!</v>
      </c>
      <c r="C311" s="15" t="e">
        <f>'BD01'!M311</f>
        <v>#VALUE!</v>
      </c>
    </row>
    <row r="312" spans="1:3" x14ac:dyDescent="0.35">
      <c r="A312" s="3">
        <v>311</v>
      </c>
      <c r="B312" s="3" t="e">
        <f>'BD01'!L312</f>
        <v>#VALUE!</v>
      </c>
      <c r="C312" s="15" t="e">
        <f>'BD01'!M312</f>
        <v>#VALUE!</v>
      </c>
    </row>
    <row r="313" spans="1:3" x14ac:dyDescent="0.35">
      <c r="A313" s="3">
        <v>312</v>
      </c>
      <c r="B313" s="3" t="e">
        <f>'BD01'!L313</f>
        <v>#VALUE!</v>
      </c>
      <c r="C313" s="15" t="e">
        <f>'BD01'!M313</f>
        <v>#VALUE!</v>
      </c>
    </row>
    <row r="314" spans="1:3" x14ac:dyDescent="0.35">
      <c r="A314" s="3">
        <v>313</v>
      </c>
      <c r="B314" s="3" t="e">
        <f>'BD01'!L314</f>
        <v>#VALUE!</v>
      </c>
      <c r="C314" s="15" t="e">
        <f>'BD01'!M314</f>
        <v>#VALUE!</v>
      </c>
    </row>
    <row r="315" spans="1:3" x14ac:dyDescent="0.35">
      <c r="A315" s="3">
        <v>314</v>
      </c>
      <c r="B315" s="3" t="e">
        <f>'BD01'!L315</f>
        <v>#VALUE!</v>
      </c>
      <c r="C315" s="15" t="e">
        <f>'BD01'!M315</f>
        <v>#VALUE!</v>
      </c>
    </row>
    <row r="316" spans="1:3" x14ac:dyDescent="0.35">
      <c r="A316" s="3">
        <v>315</v>
      </c>
      <c r="B316" s="3" t="e">
        <f>'BD01'!L316</f>
        <v>#VALUE!</v>
      </c>
      <c r="C316" s="15" t="e">
        <f>'BD01'!M316</f>
        <v>#VALUE!</v>
      </c>
    </row>
    <row r="317" spans="1:3" x14ac:dyDescent="0.35">
      <c r="A317" s="3">
        <v>316</v>
      </c>
      <c r="B317" s="3" t="e">
        <f>'BD01'!L317</f>
        <v>#VALUE!</v>
      </c>
      <c r="C317" s="15" t="e">
        <f>'BD01'!M317</f>
        <v>#VALUE!</v>
      </c>
    </row>
    <row r="318" spans="1:3" x14ac:dyDescent="0.35">
      <c r="A318" s="3">
        <v>317</v>
      </c>
      <c r="B318" s="3" t="e">
        <f>'BD01'!L318</f>
        <v>#VALUE!</v>
      </c>
      <c r="C318" s="15" t="e">
        <f>'BD01'!M318</f>
        <v>#VALUE!</v>
      </c>
    </row>
    <row r="319" spans="1:3" x14ac:dyDescent="0.35">
      <c r="A319" s="3">
        <v>318</v>
      </c>
      <c r="B319" s="3" t="e">
        <f>'BD01'!L319</f>
        <v>#VALUE!</v>
      </c>
      <c r="C319" s="15" t="e">
        <f>'BD01'!M319</f>
        <v>#VALUE!</v>
      </c>
    </row>
    <row r="320" spans="1:3" x14ac:dyDescent="0.35">
      <c r="A320" s="3">
        <v>319</v>
      </c>
      <c r="B320" s="3" t="e">
        <f>'BD01'!L320</f>
        <v>#VALUE!</v>
      </c>
      <c r="C320" s="15" t="e">
        <f>'BD01'!M320</f>
        <v>#VALUE!</v>
      </c>
    </row>
    <row r="321" spans="1:3" x14ac:dyDescent="0.35">
      <c r="A321" s="3">
        <v>320</v>
      </c>
      <c r="B321" s="3" t="e">
        <f>'BD01'!L321</f>
        <v>#VALUE!</v>
      </c>
      <c r="C321" s="15" t="e">
        <f>'BD01'!M321</f>
        <v>#VALUE!</v>
      </c>
    </row>
    <row r="322" spans="1:3" x14ac:dyDescent="0.35">
      <c r="A322" s="3">
        <v>321</v>
      </c>
      <c r="B322" s="3" t="e">
        <f>'BD01'!L322</f>
        <v>#VALUE!</v>
      </c>
      <c r="C322" s="15" t="e">
        <f>'BD01'!M322</f>
        <v>#VALUE!</v>
      </c>
    </row>
    <row r="323" spans="1:3" x14ac:dyDescent="0.35">
      <c r="A323" s="3">
        <v>322</v>
      </c>
      <c r="B323" s="3" t="e">
        <f>'BD01'!L323</f>
        <v>#VALUE!</v>
      </c>
      <c r="C323" s="15" t="e">
        <f>'BD01'!M323</f>
        <v>#VALUE!</v>
      </c>
    </row>
    <row r="324" spans="1:3" x14ac:dyDescent="0.35">
      <c r="A324" s="3">
        <v>323</v>
      </c>
      <c r="B324" s="3" t="e">
        <f>'BD01'!L324</f>
        <v>#VALUE!</v>
      </c>
      <c r="C324" s="15" t="e">
        <f>'BD01'!M324</f>
        <v>#VALUE!</v>
      </c>
    </row>
    <row r="325" spans="1:3" x14ac:dyDescent="0.35">
      <c r="A325" s="3">
        <v>324</v>
      </c>
      <c r="B325" s="3" t="e">
        <f>'BD01'!L325</f>
        <v>#VALUE!</v>
      </c>
      <c r="C325" s="15" t="e">
        <f>'BD01'!M325</f>
        <v>#VALUE!</v>
      </c>
    </row>
    <row r="326" spans="1:3" x14ac:dyDescent="0.35">
      <c r="A326" s="3">
        <v>325</v>
      </c>
      <c r="B326" s="3" t="e">
        <f>'BD01'!L326</f>
        <v>#VALUE!</v>
      </c>
      <c r="C326" s="15" t="e">
        <f>'BD01'!M326</f>
        <v>#VALUE!</v>
      </c>
    </row>
    <row r="327" spans="1:3" x14ac:dyDescent="0.35">
      <c r="A327" s="3">
        <v>326</v>
      </c>
      <c r="B327" s="3" t="e">
        <f>'BD01'!L327</f>
        <v>#VALUE!</v>
      </c>
      <c r="C327" s="15" t="e">
        <f>'BD01'!M327</f>
        <v>#VALUE!</v>
      </c>
    </row>
    <row r="328" spans="1:3" x14ac:dyDescent="0.35">
      <c r="A328" s="3">
        <v>327</v>
      </c>
      <c r="B328" s="3" t="e">
        <f>'BD01'!L328</f>
        <v>#VALUE!</v>
      </c>
      <c r="C328" s="15" t="e">
        <f>'BD01'!M328</f>
        <v>#VALUE!</v>
      </c>
    </row>
    <row r="329" spans="1:3" x14ac:dyDescent="0.35">
      <c r="A329" s="3">
        <v>328</v>
      </c>
      <c r="B329" s="3" t="e">
        <f>'BD01'!L329</f>
        <v>#VALUE!</v>
      </c>
      <c r="C329" s="15" t="e">
        <f>'BD01'!M329</f>
        <v>#VALUE!</v>
      </c>
    </row>
    <row r="330" spans="1:3" x14ac:dyDescent="0.35">
      <c r="A330" s="3">
        <v>329</v>
      </c>
      <c r="B330" s="3" t="e">
        <f>'BD01'!L330</f>
        <v>#VALUE!</v>
      </c>
      <c r="C330" s="15" t="e">
        <f>'BD01'!M330</f>
        <v>#VALUE!</v>
      </c>
    </row>
    <row r="331" spans="1:3" x14ac:dyDescent="0.35">
      <c r="A331" s="3">
        <v>330</v>
      </c>
      <c r="B331" s="3" t="e">
        <f>'BD01'!L331</f>
        <v>#VALUE!</v>
      </c>
      <c r="C331" s="15" t="e">
        <f>'BD01'!M331</f>
        <v>#VALUE!</v>
      </c>
    </row>
    <row r="332" spans="1:3" x14ac:dyDescent="0.35">
      <c r="A332" s="3">
        <v>331</v>
      </c>
      <c r="B332" s="3" t="e">
        <f>'BD01'!L332</f>
        <v>#VALUE!</v>
      </c>
      <c r="C332" s="15" t="e">
        <f>'BD01'!M332</f>
        <v>#VALUE!</v>
      </c>
    </row>
    <row r="333" spans="1:3" x14ac:dyDescent="0.35">
      <c r="A333" s="3">
        <v>332</v>
      </c>
      <c r="B333" s="3" t="e">
        <f>'BD01'!L333</f>
        <v>#VALUE!</v>
      </c>
      <c r="C333" s="15" t="e">
        <f>'BD01'!M333</f>
        <v>#VALUE!</v>
      </c>
    </row>
    <row r="334" spans="1:3" x14ac:dyDescent="0.35">
      <c r="A334" s="3">
        <v>333</v>
      </c>
      <c r="B334" s="3" t="e">
        <f>'BD01'!L334</f>
        <v>#VALUE!</v>
      </c>
      <c r="C334" s="15" t="e">
        <f>'BD01'!M334</f>
        <v>#VALUE!</v>
      </c>
    </row>
    <row r="335" spans="1:3" x14ac:dyDescent="0.35">
      <c r="A335" s="3">
        <v>334</v>
      </c>
      <c r="B335" s="3" t="e">
        <f>'BD01'!L335</f>
        <v>#VALUE!</v>
      </c>
      <c r="C335" s="15" t="e">
        <f>'BD01'!M335</f>
        <v>#VALUE!</v>
      </c>
    </row>
    <row r="336" spans="1:3" x14ac:dyDescent="0.35">
      <c r="A336" s="3">
        <v>335</v>
      </c>
      <c r="B336" s="3" t="e">
        <f>'BD01'!L336</f>
        <v>#VALUE!</v>
      </c>
      <c r="C336" s="15" t="e">
        <f>'BD01'!M336</f>
        <v>#VALUE!</v>
      </c>
    </row>
    <row r="337" spans="1:3" x14ac:dyDescent="0.35">
      <c r="A337" s="3">
        <v>336</v>
      </c>
      <c r="B337" s="3" t="e">
        <f>'BD01'!L337</f>
        <v>#VALUE!</v>
      </c>
      <c r="C337" s="15" t="e">
        <f>'BD01'!M337</f>
        <v>#VALUE!</v>
      </c>
    </row>
    <row r="338" spans="1:3" x14ac:dyDescent="0.35">
      <c r="A338" s="3">
        <v>337</v>
      </c>
      <c r="B338" s="3" t="e">
        <f>'BD01'!L338</f>
        <v>#VALUE!</v>
      </c>
      <c r="C338" s="15" t="e">
        <f>'BD01'!M338</f>
        <v>#VALUE!</v>
      </c>
    </row>
    <row r="339" spans="1:3" x14ac:dyDescent="0.35">
      <c r="A339" s="3">
        <v>338</v>
      </c>
      <c r="B339" s="3" t="e">
        <f>'BD01'!L339</f>
        <v>#VALUE!</v>
      </c>
      <c r="C339" s="15" t="e">
        <f>'BD01'!M339</f>
        <v>#VALUE!</v>
      </c>
    </row>
    <row r="340" spans="1:3" x14ac:dyDescent="0.35">
      <c r="A340" s="3">
        <v>339</v>
      </c>
      <c r="B340" s="3" t="e">
        <f>'BD01'!L340</f>
        <v>#VALUE!</v>
      </c>
      <c r="C340" s="15" t="e">
        <f>'BD01'!M340</f>
        <v>#VALUE!</v>
      </c>
    </row>
    <row r="341" spans="1:3" x14ac:dyDescent="0.35">
      <c r="A341" s="3">
        <v>340</v>
      </c>
      <c r="B341" s="3" t="e">
        <f>'BD01'!L341</f>
        <v>#VALUE!</v>
      </c>
      <c r="C341" s="15" t="e">
        <f>'BD01'!M341</f>
        <v>#VALUE!</v>
      </c>
    </row>
    <row r="342" spans="1:3" x14ac:dyDescent="0.35">
      <c r="A342" s="3">
        <v>341</v>
      </c>
      <c r="B342" s="3" t="e">
        <f>'BD01'!L342</f>
        <v>#VALUE!</v>
      </c>
      <c r="C342" s="15" t="e">
        <f>'BD01'!M342</f>
        <v>#VALUE!</v>
      </c>
    </row>
    <row r="343" spans="1:3" x14ac:dyDescent="0.35">
      <c r="A343" s="3">
        <v>342</v>
      </c>
      <c r="B343" s="3" t="e">
        <f>'BD01'!L343</f>
        <v>#VALUE!</v>
      </c>
      <c r="C343" s="15" t="e">
        <f>'BD01'!M343</f>
        <v>#VALUE!</v>
      </c>
    </row>
    <row r="344" spans="1:3" x14ac:dyDescent="0.35">
      <c r="A344" s="3">
        <v>343</v>
      </c>
      <c r="B344" s="3" t="e">
        <f>'BD01'!L344</f>
        <v>#VALUE!</v>
      </c>
      <c r="C344" s="15" t="e">
        <f>'BD01'!M344</f>
        <v>#VALUE!</v>
      </c>
    </row>
    <row r="345" spans="1:3" x14ac:dyDescent="0.35">
      <c r="A345" s="3">
        <v>344</v>
      </c>
      <c r="B345" s="3" t="e">
        <f>'BD01'!L345</f>
        <v>#VALUE!</v>
      </c>
      <c r="C345" s="15" t="e">
        <f>'BD01'!M345</f>
        <v>#VALUE!</v>
      </c>
    </row>
    <row r="346" spans="1:3" x14ac:dyDescent="0.35">
      <c r="A346" s="3">
        <v>345</v>
      </c>
      <c r="B346" s="3" t="e">
        <f>'BD01'!L346</f>
        <v>#VALUE!</v>
      </c>
      <c r="C346" s="15" t="e">
        <f>'BD01'!M346</f>
        <v>#VALUE!</v>
      </c>
    </row>
    <row r="347" spans="1:3" x14ac:dyDescent="0.35">
      <c r="A347" s="3">
        <v>346</v>
      </c>
      <c r="B347" s="3" t="e">
        <f>'BD01'!L347</f>
        <v>#VALUE!</v>
      </c>
      <c r="C347" s="15" t="e">
        <f>'BD01'!M347</f>
        <v>#VALUE!</v>
      </c>
    </row>
    <row r="348" spans="1:3" x14ac:dyDescent="0.35">
      <c r="A348" s="3">
        <v>347</v>
      </c>
      <c r="B348" s="3" t="e">
        <f>'BD01'!L348</f>
        <v>#VALUE!</v>
      </c>
      <c r="C348" s="15" t="e">
        <f>'BD01'!M348</f>
        <v>#VALUE!</v>
      </c>
    </row>
    <row r="349" spans="1:3" x14ac:dyDescent="0.35">
      <c r="A349" s="3">
        <v>348</v>
      </c>
      <c r="B349" s="3" t="e">
        <f>'BD01'!L349</f>
        <v>#VALUE!</v>
      </c>
      <c r="C349" s="15" t="e">
        <f>'BD01'!M349</f>
        <v>#VALUE!</v>
      </c>
    </row>
    <row r="350" spans="1:3" x14ac:dyDescent="0.35">
      <c r="A350" s="3">
        <v>349</v>
      </c>
      <c r="B350" s="3" t="e">
        <f>'BD01'!L350</f>
        <v>#VALUE!</v>
      </c>
      <c r="C350" s="15" t="e">
        <f>'BD01'!M350</f>
        <v>#VALUE!</v>
      </c>
    </row>
    <row r="351" spans="1:3" x14ac:dyDescent="0.35">
      <c r="A351" s="3">
        <v>350</v>
      </c>
      <c r="B351" s="3" t="e">
        <f>'BD01'!L351</f>
        <v>#VALUE!</v>
      </c>
      <c r="C351" s="15" t="e">
        <f>'BD01'!M351</f>
        <v>#VALUE!</v>
      </c>
    </row>
    <row r="352" spans="1:3" x14ac:dyDescent="0.35">
      <c r="A352" s="3">
        <v>351</v>
      </c>
      <c r="B352" s="3" t="e">
        <f>'BD01'!L352</f>
        <v>#VALUE!</v>
      </c>
      <c r="C352" s="15" t="e">
        <f>'BD01'!M352</f>
        <v>#VALUE!</v>
      </c>
    </row>
    <row r="353" spans="1:3" x14ac:dyDescent="0.35">
      <c r="A353" s="3">
        <v>352</v>
      </c>
      <c r="B353" s="3" t="e">
        <f>'BD01'!L353</f>
        <v>#VALUE!</v>
      </c>
      <c r="C353" s="15" t="e">
        <f>'BD01'!M353</f>
        <v>#VALUE!</v>
      </c>
    </row>
    <row r="354" spans="1:3" x14ac:dyDescent="0.35">
      <c r="A354" s="3">
        <v>353</v>
      </c>
      <c r="B354" s="3" t="e">
        <f>'BD01'!L354</f>
        <v>#VALUE!</v>
      </c>
      <c r="C354" s="15" t="e">
        <f>'BD01'!M354</f>
        <v>#VALUE!</v>
      </c>
    </row>
    <row r="355" spans="1:3" x14ac:dyDescent="0.35">
      <c r="A355" s="3">
        <v>354</v>
      </c>
      <c r="B355" s="3" t="e">
        <f>'BD01'!L355</f>
        <v>#VALUE!</v>
      </c>
      <c r="C355" s="15" t="e">
        <f>'BD01'!M355</f>
        <v>#VALUE!</v>
      </c>
    </row>
    <row r="356" spans="1:3" x14ac:dyDescent="0.35">
      <c r="A356" s="3">
        <v>355</v>
      </c>
      <c r="B356" s="3" t="e">
        <f>'BD01'!L356</f>
        <v>#VALUE!</v>
      </c>
      <c r="C356" s="15" t="e">
        <f>'BD01'!M356</f>
        <v>#VALUE!</v>
      </c>
    </row>
    <row r="357" spans="1:3" x14ac:dyDescent="0.35">
      <c r="A357" s="3">
        <v>356</v>
      </c>
      <c r="B357" s="3" t="e">
        <f>'BD01'!L357</f>
        <v>#VALUE!</v>
      </c>
      <c r="C357" s="15" t="e">
        <f>'BD01'!M357</f>
        <v>#VALUE!</v>
      </c>
    </row>
    <row r="358" spans="1:3" x14ac:dyDescent="0.35">
      <c r="A358" s="3">
        <v>357</v>
      </c>
      <c r="B358" s="3" t="e">
        <f>'BD01'!L358</f>
        <v>#VALUE!</v>
      </c>
      <c r="C358" s="15" t="e">
        <f>'BD01'!M358</f>
        <v>#VALUE!</v>
      </c>
    </row>
    <row r="359" spans="1:3" x14ac:dyDescent="0.35">
      <c r="A359" s="3">
        <v>358</v>
      </c>
      <c r="B359" s="3" t="e">
        <f>'BD01'!L359</f>
        <v>#VALUE!</v>
      </c>
      <c r="C359" s="15" t="e">
        <f>'BD01'!M359</f>
        <v>#VALUE!</v>
      </c>
    </row>
    <row r="360" spans="1:3" x14ac:dyDescent="0.35">
      <c r="A360" s="3">
        <v>359</v>
      </c>
      <c r="B360" s="3" t="e">
        <f>'BD01'!L360</f>
        <v>#VALUE!</v>
      </c>
      <c r="C360" s="15" t="e">
        <f>'BD01'!M360</f>
        <v>#VALUE!</v>
      </c>
    </row>
    <row r="361" spans="1:3" x14ac:dyDescent="0.35">
      <c r="A361" s="3">
        <v>360</v>
      </c>
      <c r="B361" s="3" t="e">
        <f>'BD01'!L361</f>
        <v>#VALUE!</v>
      </c>
      <c r="C361" s="15" t="e">
        <f>'BD01'!M361</f>
        <v>#VALUE!</v>
      </c>
    </row>
    <row r="362" spans="1:3" x14ac:dyDescent="0.35">
      <c r="A362" s="3">
        <v>361</v>
      </c>
      <c r="B362" s="3" t="e">
        <f>'BD01'!L362</f>
        <v>#VALUE!</v>
      </c>
      <c r="C362" s="15" t="e">
        <f>'BD01'!M362</f>
        <v>#VALUE!</v>
      </c>
    </row>
    <row r="363" spans="1:3" x14ac:dyDescent="0.35">
      <c r="A363" s="3">
        <v>362</v>
      </c>
      <c r="B363" s="3" t="e">
        <f>'BD01'!L363</f>
        <v>#VALUE!</v>
      </c>
      <c r="C363" s="15" t="e">
        <f>'BD01'!M363</f>
        <v>#VALUE!</v>
      </c>
    </row>
    <row r="364" spans="1:3" x14ac:dyDescent="0.35">
      <c r="A364" s="3">
        <v>363</v>
      </c>
      <c r="B364" s="3" t="e">
        <f>'BD01'!L364</f>
        <v>#VALUE!</v>
      </c>
      <c r="C364" s="15" t="e">
        <f>'BD01'!M364</f>
        <v>#VALUE!</v>
      </c>
    </row>
    <row r="365" spans="1:3" x14ac:dyDescent="0.35">
      <c r="A365" s="3">
        <v>364</v>
      </c>
      <c r="B365" s="3" t="e">
        <f>'BD01'!L365</f>
        <v>#VALUE!</v>
      </c>
      <c r="C365" s="15" t="e">
        <f>'BD01'!M365</f>
        <v>#VALUE!</v>
      </c>
    </row>
    <row r="366" spans="1:3" x14ac:dyDescent="0.35">
      <c r="A366" s="3">
        <v>365</v>
      </c>
      <c r="B366" s="3" t="e">
        <f>'BD01'!L366</f>
        <v>#VALUE!</v>
      </c>
      <c r="C366" s="15" t="e">
        <f>'BD01'!M366</f>
        <v>#VALUE!</v>
      </c>
    </row>
    <row r="367" spans="1:3" x14ac:dyDescent="0.35">
      <c r="A367" s="3">
        <v>366</v>
      </c>
      <c r="B367" s="3" t="e">
        <f>'BD01'!L367</f>
        <v>#VALUE!</v>
      </c>
      <c r="C367" s="15" t="e">
        <f>'BD01'!M367</f>
        <v>#VALUE!</v>
      </c>
    </row>
    <row r="368" spans="1:3" x14ac:dyDescent="0.35">
      <c r="A368" s="3">
        <v>367</v>
      </c>
      <c r="B368" s="3" t="e">
        <f>'BD01'!L368</f>
        <v>#VALUE!</v>
      </c>
      <c r="C368" s="15" t="e">
        <f>'BD01'!M368</f>
        <v>#VALUE!</v>
      </c>
    </row>
    <row r="369" spans="1:3" x14ac:dyDescent="0.35">
      <c r="A369" s="3">
        <v>368</v>
      </c>
      <c r="B369" s="3" t="e">
        <f>'BD01'!L369</f>
        <v>#VALUE!</v>
      </c>
      <c r="C369" s="15" t="e">
        <f>'BD01'!M369</f>
        <v>#VALUE!</v>
      </c>
    </row>
    <row r="370" spans="1:3" x14ac:dyDescent="0.35">
      <c r="A370" s="3">
        <v>369</v>
      </c>
      <c r="B370" s="3" t="e">
        <f>'BD01'!L370</f>
        <v>#VALUE!</v>
      </c>
      <c r="C370" s="15" t="e">
        <f>'BD01'!M370</f>
        <v>#VALUE!</v>
      </c>
    </row>
    <row r="371" spans="1:3" x14ac:dyDescent="0.35">
      <c r="A371" s="3">
        <v>370</v>
      </c>
      <c r="B371" s="3" t="e">
        <f>'BD01'!L371</f>
        <v>#VALUE!</v>
      </c>
      <c r="C371" s="15" t="e">
        <f>'BD01'!M371</f>
        <v>#VALUE!</v>
      </c>
    </row>
    <row r="372" spans="1:3" x14ac:dyDescent="0.35">
      <c r="A372" s="3">
        <v>371</v>
      </c>
      <c r="B372" s="3" t="e">
        <f>'BD01'!L372</f>
        <v>#VALUE!</v>
      </c>
      <c r="C372" s="15" t="e">
        <f>'BD01'!M372</f>
        <v>#VALUE!</v>
      </c>
    </row>
    <row r="373" spans="1:3" x14ac:dyDescent="0.35">
      <c r="A373" s="3">
        <v>372</v>
      </c>
      <c r="B373" s="3" t="e">
        <f>'BD01'!L373</f>
        <v>#VALUE!</v>
      </c>
      <c r="C373" s="15" t="e">
        <f>'BD01'!M373</f>
        <v>#VALUE!</v>
      </c>
    </row>
    <row r="374" spans="1:3" x14ac:dyDescent="0.35">
      <c r="A374" s="3">
        <v>373</v>
      </c>
      <c r="B374" s="3" t="e">
        <f>'BD01'!L374</f>
        <v>#VALUE!</v>
      </c>
      <c r="C374" s="15" t="e">
        <f>'BD01'!M374</f>
        <v>#VALUE!</v>
      </c>
    </row>
    <row r="375" spans="1:3" x14ac:dyDescent="0.35">
      <c r="A375" s="3">
        <v>374</v>
      </c>
      <c r="B375" s="3" t="e">
        <f>'BD01'!L375</f>
        <v>#VALUE!</v>
      </c>
      <c r="C375" s="15" t="e">
        <f>'BD01'!M375</f>
        <v>#VALUE!</v>
      </c>
    </row>
    <row r="376" spans="1:3" x14ac:dyDescent="0.35">
      <c r="A376" s="3">
        <v>375</v>
      </c>
      <c r="B376" s="3" t="e">
        <f>'BD01'!L376</f>
        <v>#VALUE!</v>
      </c>
      <c r="C376" s="15" t="e">
        <f>'BD01'!M376</f>
        <v>#VALUE!</v>
      </c>
    </row>
    <row r="377" spans="1:3" x14ac:dyDescent="0.35">
      <c r="A377" s="3">
        <v>376</v>
      </c>
      <c r="B377" s="3" t="e">
        <f>'BD01'!L377</f>
        <v>#VALUE!</v>
      </c>
      <c r="C377" s="15" t="e">
        <f>'BD01'!M377</f>
        <v>#VALUE!</v>
      </c>
    </row>
    <row r="378" spans="1:3" x14ac:dyDescent="0.35">
      <c r="A378" s="3">
        <v>377</v>
      </c>
      <c r="B378" s="3" t="e">
        <f>'BD01'!L378</f>
        <v>#VALUE!</v>
      </c>
      <c r="C378" s="15" t="e">
        <f>'BD01'!M378</f>
        <v>#VALUE!</v>
      </c>
    </row>
    <row r="379" spans="1:3" x14ac:dyDescent="0.35">
      <c r="A379" s="3">
        <v>378</v>
      </c>
      <c r="B379" s="3" t="e">
        <f>'BD01'!L379</f>
        <v>#VALUE!</v>
      </c>
      <c r="C379" s="15" t="e">
        <f>'BD01'!M379</f>
        <v>#VALUE!</v>
      </c>
    </row>
    <row r="380" spans="1:3" x14ac:dyDescent="0.35">
      <c r="A380" s="3">
        <v>379</v>
      </c>
      <c r="B380" s="3" t="e">
        <f>'BD01'!L380</f>
        <v>#VALUE!</v>
      </c>
      <c r="C380" s="15" t="e">
        <f>'BD01'!M380</f>
        <v>#VALUE!</v>
      </c>
    </row>
    <row r="381" spans="1:3" x14ac:dyDescent="0.35">
      <c r="A381" s="3">
        <v>380</v>
      </c>
      <c r="B381" s="3" t="e">
        <f>'BD01'!L381</f>
        <v>#VALUE!</v>
      </c>
      <c r="C381" s="15" t="e">
        <f>'BD01'!M381</f>
        <v>#VALUE!</v>
      </c>
    </row>
    <row r="382" spans="1:3" x14ac:dyDescent="0.35">
      <c r="A382" s="3">
        <v>381</v>
      </c>
      <c r="B382" s="3" t="e">
        <f>'BD01'!L382</f>
        <v>#VALUE!</v>
      </c>
      <c r="C382" s="15" t="e">
        <f>'BD01'!M382</f>
        <v>#VALUE!</v>
      </c>
    </row>
    <row r="383" spans="1:3" x14ac:dyDescent="0.35">
      <c r="A383" s="3">
        <v>382</v>
      </c>
      <c r="B383" s="3" t="e">
        <f>'BD01'!L383</f>
        <v>#VALUE!</v>
      </c>
      <c r="C383" s="15" t="e">
        <f>'BD01'!M383</f>
        <v>#VALUE!</v>
      </c>
    </row>
    <row r="384" spans="1:3" x14ac:dyDescent="0.35">
      <c r="A384" s="3">
        <v>383</v>
      </c>
      <c r="B384" s="3" t="e">
        <f>'BD01'!L384</f>
        <v>#VALUE!</v>
      </c>
      <c r="C384" s="15" t="e">
        <f>'BD01'!M384</f>
        <v>#VALUE!</v>
      </c>
    </row>
    <row r="385" spans="1:3" x14ac:dyDescent="0.35">
      <c r="A385" s="3">
        <v>384</v>
      </c>
      <c r="B385" s="3" t="e">
        <f>'BD01'!L385</f>
        <v>#VALUE!</v>
      </c>
      <c r="C385" s="15" t="e">
        <f>'BD01'!M385</f>
        <v>#VALUE!</v>
      </c>
    </row>
    <row r="386" spans="1:3" x14ac:dyDescent="0.35">
      <c r="A386" s="3">
        <v>385</v>
      </c>
      <c r="B386" s="3" t="e">
        <f>'BD01'!L386</f>
        <v>#VALUE!</v>
      </c>
      <c r="C386" s="15" t="e">
        <f>'BD01'!M386</f>
        <v>#VALUE!</v>
      </c>
    </row>
    <row r="387" spans="1:3" x14ac:dyDescent="0.35">
      <c r="A387" s="3">
        <v>386</v>
      </c>
      <c r="B387" s="3" t="e">
        <f>'BD01'!L387</f>
        <v>#VALUE!</v>
      </c>
      <c r="C387" s="15" t="e">
        <f>'BD01'!M387</f>
        <v>#VALUE!</v>
      </c>
    </row>
    <row r="388" spans="1:3" x14ac:dyDescent="0.35">
      <c r="A388" s="3">
        <v>387</v>
      </c>
      <c r="B388" s="3" t="e">
        <f>'BD01'!L388</f>
        <v>#VALUE!</v>
      </c>
      <c r="C388" s="15" t="e">
        <f>'BD01'!M388</f>
        <v>#VALUE!</v>
      </c>
    </row>
    <row r="389" spans="1:3" x14ac:dyDescent="0.35">
      <c r="A389" s="3">
        <v>388</v>
      </c>
      <c r="B389" s="3" t="e">
        <f>'BD01'!L389</f>
        <v>#VALUE!</v>
      </c>
      <c r="C389" s="15" t="e">
        <f>'BD01'!M389</f>
        <v>#VALUE!</v>
      </c>
    </row>
    <row r="390" spans="1:3" x14ac:dyDescent="0.35">
      <c r="A390" s="3">
        <v>389</v>
      </c>
      <c r="B390" s="3" t="e">
        <f>'BD01'!L390</f>
        <v>#VALUE!</v>
      </c>
      <c r="C390" s="15" t="e">
        <f>'BD01'!M390</f>
        <v>#VALUE!</v>
      </c>
    </row>
    <row r="391" spans="1:3" x14ac:dyDescent="0.35">
      <c r="A391" s="3">
        <v>390</v>
      </c>
      <c r="B391" s="3" t="e">
        <f>'BD01'!L391</f>
        <v>#VALUE!</v>
      </c>
      <c r="C391" s="15" t="e">
        <f>'BD01'!M391</f>
        <v>#VALUE!</v>
      </c>
    </row>
    <row r="392" spans="1:3" x14ac:dyDescent="0.35">
      <c r="A392" s="3">
        <v>391</v>
      </c>
      <c r="B392" s="3" t="e">
        <f>'BD01'!L392</f>
        <v>#VALUE!</v>
      </c>
      <c r="C392" s="15" t="e">
        <f>'BD01'!M392</f>
        <v>#VALUE!</v>
      </c>
    </row>
    <row r="393" spans="1:3" x14ac:dyDescent="0.35">
      <c r="A393" s="3">
        <v>392</v>
      </c>
      <c r="B393" s="3" t="e">
        <f>'BD01'!L393</f>
        <v>#VALUE!</v>
      </c>
      <c r="C393" s="15" t="e">
        <f>'BD01'!M393</f>
        <v>#VALUE!</v>
      </c>
    </row>
    <row r="394" spans="1:3" x14ac:dyDescent="0.35">
      <c r="A394" s="3">
        <v>393</v>
      </c>
      <c r="B394" s="3" t="e">
        <f>'BD01'!L394</f>
        <v>#VALUE!</v>
      </c>
      <c r="C394" s="15" t="e">
        <f>'BD01'!M394</f>
        <v>#VALUE!</v>
      </c>
    </row>
    <row r="395" spans="1:3" x14ac:dyDescent="0.35">
      <c r="A395" s="3">
        <v>394</v>
      </c>
      <c r="B395" s="3" t="e">
        <f>'BD01'!L395</f>
        <v>#VALUE!</v>
      </c>
      <c r="C395" s="15" t="e">
        <f>'BD01'!M395</f>
        <v>#VALUE!</v>
      </c>
    </row>
    <row r="396" spans="1:3" x14ac:dyDescent="0.35">
      <c r="A396" s="3">
        <v>395</v>
      </c>
      <c r="B396" s="3" t="e">
        <f>'BD01'!L396</f>
        <v>#VALUE!</v>
      </c>
      <c r="C396" s="15" t="e">
        <f>'BD01'!M396</f>
        <v>#VALUE!</v>
      </c>
    </row>
    <row r="397" spans="1:3" x14ac:dyDescent="0.35">
      <c r="A397" s="3">
        <v>396</v>
      </c>
      <c r="B397" s="3" t="e">
        <f>'BD01'!L397</f>
        <v>#VALUE!</v>
      </c>
      <c r="C397" s="15" t="e">
        <f>'BD01'!M397</f>
        <v>#VALUE!</v>
      </c>
    </row>
    <row r="398" spans="1:3" x14ac:dyDescent="0.35">
      <c r="A398" s="3">
        <v>397</v>
      </c>
      <c r="B398" s="3" t="e">
        <f>'BD01'!L398</f>
        <v>#VALUE!</v>
      </c>
      <c r="C398" s="15" t="e">
        <f>'BD01'!M398</f>
        <v>#VALUE!</v>
      </c>
    </row>
    <row r="399" spans="1:3" x14ac:dyDescent="0.35">
      <c r="A399" s="3">
        <v>398</v>
      </c>
      <c r="B399" s="3" t="e">
        <f>'BD01'!L399</f>
        <v>#VALUE!</v>
      </c>
      <c r="C399" s="15" t="e">
        <f>'BD01'!M399</f>
        <v>#VALUE!</v>
      </c>
    </row>
    <row r="400" spans="1:3" x14ac:dyDescent="0.35">
      <c r="A400" s="3">
        <v>399</v>
      </c>
      <c r="B400" s="3" t="e">
        <f>'BD01'!L400</f>
        <v>#VALUE!</v>
      </c>
      <c r="C400" s="15" t="e">
        <f>'BD01'!M400</f>
        <v>#VALUE!</v>
      </c>
    </row>
    <row r="401" spans="1:3" x14ac:dyDescent="0.35">
      <c r="A401" s="3">
        <v>400</v>
      </c>
      <c r="B401" s="3" t="e">
        <f>'BD01'!L401</f>
        <v>#VALUE!</v>
      </c>
      <c r="C401" s="15" t="e">
        <f>'BD01'!M401</f>
        <v>#VALUE!</v>
      </c>
    </row>
    <row r="402" spans="1:3" x14ac:dyDescent="0.35">
      <c r="A402" s="1"/>
      <c r="B402" s="1"/>
      <c r="C402" s="1"/>
    </row>
    <row r="403" spans="1:3" x14ac:dyDescent="0.35">
      <c r="A403" s="1"/>
      <c r="B403" s="1"/>
      <c r="C403" s="1"/>
    </row>
    <row r="404" spans="1:3" x14ac:dyDescent="0.35">
      <c r="A404" s="1"/>
      <c r="B404" s="1"/>
      <c r="C404" s="1"/>
    </row>
    <row r="405" spans="1:3" x14ac:dyDescent="0.35">
      <c r="A405" s="1"/>
      <c r="B405" s="1"/>
      <c r="C405" s="1"/>
    </row>
    <row r="406" spans="1:3" x14ac:dyDescent="0.35">
      <c r="A406" s="1"/>
      <c r="B406" s="1"/>
      <c r="C406" s="1"/>
    </row>
    <row r="407" spans="1:3" x14ac:dyDescent="0.35">
      <c r="A407" s="1"/>
      <c r="B407" s="1"/>
      <c r="C407" s="1"/>
    </row>
    <row r="408" spans="1:3" x14ac:dyDescent="0.35">
      <c r="A408" s="1"/>
      <c r="B408" s="1"/>
      <c r="C408" s="1"/>
    </row>
    <row r="409" spans="1:3" x14ac:dyDescent="0.35">
      <c r="A409" s="1"/>
      <c r="B409" s="1"/>
      <c r="C409" s="1"/>
    </row>
    <row r="410" spans="1:3" x14ac:dyDescent="0.35">
      <c r="A410" s="1"/>
      <c r="B410" s="1"/>
      <c r="C410" s="1"/>
    </row>
    <row r="411" spans="1:3" x14ac:dyDescent="0.35">
      <c r="A411" s="1"/>
      <c r="B411" s="1"/>
      <c r="C411" s="1"/>
    </row>
    <row r="412" spans="1:3" x14ac:dyDescent="0.35">
      <c r="A412" s="1"/>
      <c r="B412" s="1"/>
      <c r="C412" s="1"/>
    </row>
    <row r="413" spans="1:3" x14ac:dyDescent="0.35">
      <c r="A413" s="1"/>
      <c r="B413" s="1"/>
      <c r="C413" s="1"/>
    </row>
    <row r="414" spans="1:3" x14ac:dyDescent="0.35">
      <c r="A414" s="1"/>
      <c r="B414" s="1"/>
      <c r="C414" s="1"/>
    </row>
    <row r="415" spans="1:3" x14ac:dyDescent="0.35">
      <c r="A415" s="1"/>
      <c r="B415" s="1"/>
      <c r="C415" s="1"/>
    </row>
    <row r="416" spans="1:3" x14ac:dyDescent="0.35">
      <c r="A416" s="1"/>
      <c r="B416" s="1"/>
      <c r="C416" s="1"/>
    </row>
    <row r="417" spans="1:3" x14ac:dyDescent="0.35">
      <c r="A417" s="1"/>
      <c r="B417" s="1"/>
      <c r="C417" s="1"/>
    </row>
    <row r="418" spans="1:3" x14ac:dyDescent="0.35">
      <c r="A418" s="1"/>
      <c r="B418" s="1"/>
      <c r="C418" s="1"/>
    </row>
    <row r="419" spans="1:3" x14ac:dyDescent="0.35">
      <c r="A419" s="1"/>
      <c r="B419" s="1"/>
      <c r="C419" s="1"/>
    </row>
    <row r="420" spans="1:3" x14ac:dyDescent="0.35">
      <c r="A420" s="1"/>
      <c r="B420" s="1"/>
      <c r="C420" s="1"/>
    </row>
    <row r="421" spans="1:3" x14ac:dyDescent="0.35">
      <c r="A421" s="1"/>
      <c r="B421" s="1"/>
      <c r="C421" s="1"/>
    </row>
    <row r="422" spans="1:3" x14ac:dyDescent="0.35">
      <c r="A422" s="1"/>
      <c r="B422" s="1"/>
      <c r="C422" s="1"/>
    </row>
    <row r="423" spans="1:3" x14ac:dyDescent="0.35">
      <c r="A423" s="1"/>
      <c r="B423" s="1"/>
      <c r="C423" s="1"/>
    </row>
    <row r="424" spans="1:3" x14ac:dyDescent="0.35">
      <c r="A424" s="1"/>
      <c r="B424" s="1"/>
      <c r="C424" s="1"/>
    </row>
    <row r="425" spans="1:3" x14ac:dyDescent="0.35">
      <c r="A425" s="1"/>
      <c r="B425" s="1"/>
      <c r="C425" s="1"/>
    </row>
    <row r="426" spans="1:3" x14ac:dyDescent="0.35">
      <c r="A426" s="1"/>
      <c r="B426" s="1"/>
      <c r="C426" s="1"/>
    </row>
    <row r="427" spans="1:3" x14ac:dyDescent="0.35">
      <c r="A427" s="1"/>
      <c r="B427" s="1"/>
      <c r="C427" s="1"/>
    </row>
    <row r="428" spans="1:3" x14ac:dyDescent="0.35">
      <c r="A428" s="1"/>
      <c r="B428" s="1"/>
      <c r="C428" s="1"/>
    </row>
    <row r="429" spans="1:3" x14ac:dyDescent="0.35">
      <c r="A429" s="1"/>
      <c r="B429" s="1"/>
      <c r="C429" s="1"/>
    </row>
    <row r="430" spans="1:3" x14ac:dyDescent="0.35">
      <c r="A430" s="1"/>
      <c r="B430" s="1"/>
      <c r="C430" s="1"/>
    </row>
    <row r="431" spans="1:3" x14ac:dyDescent="0.35">
      <c r="A431" s="1"/>
      <c r="B431" s="1"/>
      <c r="C431" s="1"/>
    </row>
    <row r="432" spans="1:3" x14ac:dyDescent="0.35">
      <c r="A432" s="1"/>
      <c r="B432" s="1"/>
      <c r="C432" s="1"/>
    </row>
    <row r="433" spans="1:3" x14ac:dyDescent="0.35">
      <c r="A433" s="1"/>
      <c r="B433" s="1"/>
      <c r="C433" s="1"/>
    </row>
    <row r="434" spans="1:3" x14ac:dyDescent="0.35">
      <c r="A434" s="1"/>
      <c r="B434" s="1"/>
      <c r="C434" s="1"/>
    </row>
    <row r="435" spans="1:3" x14ac:dyDescent="0.35">
      <c r="A435" s="1"/>
      <c r="B435" s="1"/>
      <c r="C435" s="1"/>
    </row>
    <row r="436" spans="1:3" x14ac:dyDescent="0.35">
      <c r="A436" s="1"/>
      <c r="B436" s="1"/>
      <c r="C436" s="1"/>
    </row>
    <row r="437" spans="1:3" x14ac:dyDescent="0.35">
      <c r="A437" s="1"/>
      <c r="B437" s="1"/>
      <c r="C437" s="1"/>
    </row>
    <row r="438" spans="1:3" x14ac:dyDescent="0.35">
      <c r="A438" s="1"/>
      <c r="B438" s="1"/>
      <c r="C438" s="1"/>
    </row>
    <row r="439" spans="1:3" x14ac:dyDescent="0.35">
      <c r="A439" s="1"/>
      <c r="B439" s="1"/>
      <c r="C439" s="1"/>
    </row>
    <row r="440" spans="1:3" x14ac:dyDescent="0.35">
      <c r="A440" s="1"/>
      <c r="B440" s="1"/>
      <c r="C440" s="1"/>
    </row>
    <row r="441" spans="1:3" x14ac:dyDescent="0.35">
      <c r="A441" s="1"/>
      <c r="B441" s="1"/>
      <c r="C441" s="1"/>
    </row>
    <row r="442" spans="1:3" x14ac:dyDescent="0.35">
      <c r="A442" s="1"/>
      <c r="B442" s="1"/>
      <c r="C442" s="1"/>
    </row>
    <row r="443" spans="1:3" x14ac:dyDescent="0.35">
      <c r="A443" s="1"/>
      <c r="B443" s="1"/>
      <c r="C443" s="1"/>
    </row>
    <row r="444" spans="1:3" x14ac:dyDescent="0.35">
      <c r="A444" s="1"/>
      <c r="B444" s="1"/>
      <c r="C444" s="1"/>
    </row>
    <row r="445" spans="1:3" x14ac:dyDescent="0.35">
      <c r="A445" s="1"/>
      <c r="B445" s="1"/>
      <c r="C445" s="1"/>
    </row>
    <row r="446" spans="1:3" x14ac:dyDescent="0.35">
      <c r="A446" s="1"/>
      <c r="B446" s="1"/>
      <c r="C446" s="1"/>
    </row>
    <row r="447" spans="1:3" x14ac:dyDescent="0.35">
      <c r="A447" s="1"/>
      <c r="B447" s="1"/>
      <c r="C447" s="1"/>
    </row>
    <row r="448" spans="1:3" x14ac:dyDescent="0.35">
      <c r="A448" s="1"/>
      <c r="B448" s="1"/>
      <c r="C448" s="1"/>
    </row>
    <row r="449" spans="1:3" x14ac:dyDescent="0.35">
      <c r="A449" s="1"/>
      <c r="B449" s="1"/>
      <c r="C449" s="1"/>
    </row>
    <row r="450" spans="1:3" x14ac:dyDescent="0.35">
      <c r="A450" s="1"/>
      <c r="B450" s="1"/>
      <c r="C450" s="1"/>
    </row>
    <row r="451" spans="1:3" x14ac:dyDescent="0.35">
      <c r="A451" s="1"/>
      <c r="B451" s="1"/>
      <c r="C451" s="1"/>
    </row>
  </sheetData>
  <sheetProtection algorithmName="SHA-512" hashValue="W9v+ZaBmiGFtmuonQQ0vX03UIox1wz3x28QySDGYv0kxJF6PW4bAsUmtBcSPUGe3oEmMz6olh+HWUAwJptrikA==" saltValue="Aamc4n/lR//aV5f8/+Ad5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E7DF-6D74-4A91-8CC3-3020162C25CC}">
  <dimension ref="A1:I451"/>
  <sheetViews>
    <sheetView tabSelected="1" workbookViewId="0">
      <selection activeCell="G3" sqref="G3:I8"/>
    </sheetView>
  </sheetViews>
  <sheetFormatPr baseColWidth="10" defaultColWidth="11" defaultRowHeight="15.5" x14ac:dyDescent="0.35"/>
  <cols>
    <col min="1" max="1" width="4.08203125" customWidth="1"/>
    <col min="2" max="2" width="14" bestFit="1" customWidth="1"/>
    <col min="3" max="3" width="21.08203125" bestFit="1" customWidth="1"/>
  </cols>
  <sheetData>
    <row r="1" spans="1:9" x14ac:dyDescent="0.35">
      <c r="A1" s="8" t="s">
        <v>44</v>
      </c>
      <c r="B1" s="8" t="s">
        <v>95</v>
      </c>
      <c r="C1" s="8" t="s">
        <v>97</v>
      </c>
    </row>
    <row r="2" spans="1:9" x14ac:dyDescent="0.35">
      <c r="A2" s="3">
        <v>1</v>
      </c>
      <c r="B2" s="3" t="e">
        <f>'BD01'!L2</f>
        <v>#VALUE!</v>
      </c>
      <c r="C2" s="15" t="e">
        <f>'BD01'!M2</f>
        <v>#VALUE!</v>
      </c>
    </row>
    <row r="3" spans="1:9" x14ac:dyDescent="0.35">
      <c r="A3" s="3">
        <v>2</v>
      </c>
      <c r="B3" s="3" t="e">
        <f>'BD01'!L3</f>
        <v>#VALUE!</v>
      </c>
      <c r="C3" s="15" t="e">
        <f>'BD01'!M3</f>
        <v>#VALUE!</v>
      </c>
      <c r="G3" s="26" t="s">
        <v>101</v>
      </c>
      <c r="H3" s="26"/>
      <c r="I3" s="26"/>
    </row>
    <row r="4" spans="1:9" x14ac:dyDescent="0.35">
      <c r="A4" s="3">
        <v>3</v>
      </c>
      <c r="B4" s="3" t="e">
        <f>'BD01'!L4</f>
        <v>#VALUE!</v>
      </c>
      <c r="C4" s="15" t="e">
        <f>'BD01'!M4</f>
        <v>#VALUE!</v>
      </c>
      <c r="G4" s="26"/>
      <c r="H4" s="26"/>
      <c r="I4" s="26"/>
    </row>
    <row r="5" spans="1:9" x14ac:dyDescent="0.35">
      <c r="A5" s="3">
        <v>4</v>
      </c>
      <c r="B5" s="3" t="e">
        <f>'BD01'!L5</f>
        <v>#VALUE!</v>
      </c>
      <c r="C5" s="15" t="e">
        <f>'BD01'!M5</f>
        <v>#VALUE!</v>
      </c>
      <c r="G5" s="26"/>
      <c r="H5" s="26"/>
      <c r="I5" s="26"/>
    </row>
    <row r="6" spans="1:9" x14ac:dyDescent="0.35">
      <c r="A6" s="3">
        <v>5</v>
      </c>
      <c r="B6" s="3" t="e">
        <f>'BD01'!L6</f>
        <v>#VALUE!</v>
      </c>
      <c r="C6" s="15" t="e">
        <f>'BD01'!M6</f>
        <v>#VALUE!</v>
      </c>
      <c r="G6" s="26"/>
      <c r="H6" s="26"/>
      <c r="I6" s="26"/>
    </row>
    <row r="7" spans="1:9" x14ac:dyDescent="0.35">
      <c r="A7" s="3">
        <v>6</v>
      </c>
      <c r="B7" s="3" t="e">
        <f>'BD01'!L7</f>
        <v>#VALUE!</v>
      </c>
      <c r="C7" s="15" t="e">
        <f>'BD01'!M7</f>
        <v>#VALUE!</v>
      </c>
      <c r="G7" s="26"/>
      <c r="H7" s="26"/>
      <c r="I7" s="26"/>
    </row>
    <row r="8" spans="1:9" x14ac:dyDescent="0.35">
      <c r="A8" s="3">
        <v>7</v>
      </c>
      <c r="B8" s="3" t="e">
        <f>'BD01'!L8</f>
        <v>#VALUE!</v>
      </c>
      <c r="C8" s="15" t="e">
        <f>'BD01'!M8</f>
        <v>#VALUE!</v>
      </c>
      <c r="G8" s="26"/>
      <c r="H8" s="26"/>
      <c r="I8" s="26"/>
    </row>
    <row r="9" spans="1:9" x14ac:dyDescent="0.35">
      <c r="A9" s="3">
        <v>8</v>
      </c>
      <c r="B9" s="3" t="e">
        <f>'BD01'!L9</f>
        <v>#VALUE!</v>
      </c>
      <c r="C9" s="15" t="e">
        <f>'BD01'!M9</f>
        <v>#VALUE!</v>
      </c>
    </row>
    <row r="10" spans="1:9" x14ac:dyDescent="0.35">
      <c r="A10" s="3">
        <v>9</v>
      </c>
      <c r="B10" s="3" t="e">
        <f>'BD01'!L10</f>
        <v>#VALUE!</v>
      </c>
      <c r="C10" s="15" t="e">
        <f>'BD01'!M10</f>
        <v>#VALUE!</v>
      </c>
    </row>
    <row r="11" spans="1:9" x14ac:dyDescent="0.35">
      <c r="A11" s="3">
        <v>10</v>
      </c>
      <c r="B11" s="3" t="e">
        <f>'BD01'!L11</f>
        <v>#VALUE!</v>
      </c>
      <c r="C11" s="15" t="e">
        <f>'BD01'!M11</f>
        <v>#VALUE!</v>
      </c>
    </row>
    <row r="12" spans="1:9" x14ac:dyDescent="0.35">
      <c r="A12" s="3">
        <v>11</v>
      </c>
      <c r="B12" s="3" t="e">
        <f>'BD01'!L12</f>
        <v>#VALUE!</v>
      </c>
      <c r="C12" s="15" t="e">
        <f>'BD01'!M12</f>
        <v>#VALUE!</v>
      </c>
    </row>
    <row r="13" spans="1:9" x14ac:dyDescent="0.35">
      <c r="A13" s="3">
        <v>12</v>
      </c>
      <c r="B13" s="3" t="e">
        <f>'BD01'!L13</f>
        <v>#VALUE!</v>
      </c>
      <c r="C13" s="15" t="e">
        <f>'BD01'!M13</f>
        <v>#VALUE!</v>
      </c>
    </row>
    <row r="14" spans="1:9" x14ac:dyDescent="0.35">
      <c r="A14" s="3">
        <v>13</v>
      </c>
      <c r="B14" s="3" t="e">
        <f>'BD01'!L14</f>
        <v>#VALUE!</v>
      </c>
      <c r="C14" s="15" t="e">
        <f>'BD01'!M14</f>
        <v>#VALUE!</v>
      </c>
    </row>
    <row r="15" spans="1:9" x14ac:dyDescent="0.35">
      <c r="A15" s="3">
        <v>14</v>
      </c>
      <c r="B15" s="3" t="e">
        <f>'BD01'!L15</f>
        <v>#VALUE!</v>
      </c>
      <c r="C15" s="15" t="e">
        <f>'BD01'!M15</f>
        <v>#VALUE!</v>
      </c>
    </row>
    <row r="16" spans="1:9" x14ac:dyDescent="0.35">
      <c r="A16" s="3">
        <v>15</v>
      </c>
      <c r="B16" s="3" t="e">
        <f>'BD01'!L16</f>
        <v>#VALUE!</v>
      </c>
      <c r="C16" s="15" t="e">
        <f>'BD01'!M16</f>
        <v>#VALUE!</v>
      </c>
    </row>
    <row r="17" spans="1:3" x14ac:dyDescent="0.35">
      <c r="A17" s="3">
        <v>16</v>
      </c>
      <c r="B17" s="3" t="e">
        <f>'BD01'!L17</f>
        <v>#VALUE!</v>
      </c>
      <c r="C17" s="15" t="e">
        <f>'BD01'!M17</f>
        <v>#VALUE!</v>
      </c>
    </row>
    <row r="18" spans="1:3" x14ac:dyDescent="0.35">
      <c r="A18" s="3">
        <v>17</v>
      </c>
      <c r="B18" s="3" t="e">
        <f>'BD01'!L18</f>
        <v>#VALUE!</v>
      </c>
      <c r="C18" s="15" t="e">
        <f>'BD01'!M18</f>
        <v>#VALUE!</v>
      </c>
    </row>
    <row r="19" spans="1:3" x14ac:dyDescent="0.35">
      <c r="A19" s="3">
        <v>18</v>
      </c>
      <c r="B19" s="3" t="e">
        <f>'BD01'!L19</f>
        <v>#VALUE!</v>
      </c>
      <c r="C19" s="15" t="e">
        <f>'BD01'!M19</f>
        <v>#VALUE!</v>
      </c>
    </row>
    <row r="20" spans="1:3" x14ac:dyDescent="0.35">
      <c r="A20" s="3">
        <v>19</v>
      </c>
      <c r="B20" s="3" t="e">
        <f>'BD01'!L20</f>
        <v>#VALUE!</v>
      </c>
      <c r="C20" s="15" t="e">
        <f>'BD01'!M20</f>
        <v>#VALUE!</v>
      </c>
    </row>
    <row r="21" spans="1:3" x14ac:dyDescent="0.35">
      <c r="A21" s="3">
        <v>20</v>
      </c>
      <c r="B21" s="3" t="e">
        <f>'BD01'!L21</f>
        <v>#VALUE!</v>
      </c>
      <c r="C21" s="15" t="e">
        <f>'BD01'!M21</f>
        <v>#VALUE!</v>
      </c>
    </row>
    <row r="22" spans="1:3" x14ac:dyDescent="0.35">
      <c r="A22" s="3">
        <v>21</v>
      </c>
      <c r="B22" s="3" t="e">
        <f>'BD01'!L22</f>
        <v>#VALUE!</v>
      </c>
      <c r="C22" s="15" t="e">
        <f>'BD01'!M22</f>
        <v>#VALUE!</v>
      </c>
    </row>
    <row r="23" spans="1:3" x14ac:dyDescent="0.35">
      <c r="A23" s="3">
        <v>22</v>
      </c>
      <c r="B23" s="3" t="e">
        <f>'BD01'!L23</f>
        <v>#VALUE!</v>
      </c>
      <c r="C23" s="15" t="e">
        <f>'BD01'!M23</f>
        <v>#VALUE!</v>
      </c>
    </row>
    <row r="24" spans="1:3" x14ac:dyDescent="0.35">
      <c r="A24" s="3">
        <v>23</v>
      </c>
      <c r="B24" s="3" t="e">
        <f>'BD01'!L24</f>
        <v>#VALUE!</v>
      </c>
      <c r="C24" s="15" t="e">
        <f>'BD01'!M24</f>
        <v>#VALUE!</v>
      </c>
    </row>
    <row r="25" spans="1:3" x14ac:dyDescent="0.35">
      <c r="A25" s="3">
        <v>24</v>
      </c>
      <c r="B25" s="3" t="e">
        <f>'BD01'!L25</f>
        <v>#VALUE!</v>
      </c>
      <c r="C25" s="15" t="e">
        <f>'BD01'!M25</f>
        <v>#VALUE!</v>
      </c>
    </row>
    <row r="26" spans="1:3" x14ac:dyDescent="0.35">
      <c r="A26" s="3">
        <v>25</v>
      </c>
      <c r="B26" s="3" t="e">
        <f>'BD01'!L26</f>
        <v>#VALUE!</v>
      </c>
      <c r="C26" s="15" t="e">
        <f>'BD01'!M26</f>
        <v>#VALUE!</v>
      </c>
    </row>
    <row r="27" spans="1:3" x14ac:dyDescent="0.35">
      <c r="A27" s="3">
        <v>26</v>
      </c>
      <c r="B27" s="3" t="e">
        <f>'BD01'!L27</f>
        <v>#VALUE!</v>
      </c>
      <c r="C27" s="15" t="e">
        <f>'BD01'!M27</f>
        <v>#VALUE!</v>
      </c>
    </row>
    <row r="28" spans="1:3" x14ac:dyDescent="0.35">
      <c r="A28" s="3">
        <v>27</v>
      </c>
      <c r="B28" s="3" t="e">
        <f>'BD01'!L28</f>
        <v>#VALUE!</v>
      </c>
      <c r="C28" s="15" t="e">
        <f>'BD01'!M28</f>
        <v>#VALUE!</v>
      </c>
    </row>
    <row r="29" spans="1:3" x14ac:dyDescent="0.35">
      <c r="A29" s="3">
        <v>28</v>
      </c>
      <c r="B29" s="3" t="e">
        <f>'BD01'!L29</f>
        <v>#VALUE!</v>
      </c>
      <c r="C29" s="15" t="e">
        <f>'BD01'!M29</f>
        <v>#VALUE!</v>
      </c>
    </row>
    <row r="30" spans="1:3" x14ac:dyDescent="0.35">
      <c r="A30" s="3">
        <v>29</v>
      </c>
      <c r="B30" s="3" t="e">
        <f>'BD01'!L30</f>
        <v>#VALUE!</v>
      </c>
      <c r="C30" s="15" t="e">
        <f>'BD01'!M30</f>
        <v>#VALUE!</v>
      </c>
    </row>
    <row r="31" spans="1:3" x14ac:dyDescent="0.35">
      <c r="A31" s="3">
        <v>30</v>
      </c>
      <c r="B31" s="3" t="e">
        <f>'BD01'!L31</f>
        <v>#VALUE!</v>
      </c>
      <c r="C31" s="15" t="e">
        <f>'BD01'!M31</f>
        <v>#VALUE!</v>
      </c>
    </row>
    <row r="32" spans="1:3" x14ac:dyDescent="0.35">
      <c r="A32" s="3">
        <v>31</v>
      </c>
      <c r="B32" s="3" t="e">
        <f>'BD01'!L32</f>
        <v>#VALUE!</v>
      </c>
      <c r="C32" s="15" t="e">
        <f>'BD01'!M32</f>
        <v>#VALUE!</v>
      </c>
    </row>
    <row r="33" spans="1:3" x14ac:dyDescent="0.35">
      <c r="A33" s="3">
        <v>32</v>
      </c>
      <c r="B33" s="3" t="e">
        <f>'BD01'!L33</f>
        <v>#VALUE!</v>
      </c>
      <c r="C33" s="15" t="e">
        <f>'BD01'!M33</f>
        <v>#VALUE!</v>
      </c>
    </row>
    <row r="34" spans="1:3" x14ac:dyDescent="0.35">
      <c r="A34" s="3">
        <v>33</v>
      </c>
      <c r="B34" s="3" t="e">
        <f>'BD01'!L34</f>
        <v>#VALUE!</v>
      </c>
      <c r="C34" s="15" t="e">
        <f>'BD01'!M34</f>
        <v>#VALUE!</v>
      </c>
    </row>
    <row r="35" spans="1:3" x14ac:dyDescent="0.35">
      <c r="A35" s="3">
        <v>34</v>
      </c>
      <c r="B35" s="3" t="e">
        <f>'BD01'!L35</f>
        <v>#VALUE!</v>
      </c>
      <c r="C35" s="15" t="e">
        <f>'BD01'!M35</f>
        <v>#VALUE!</v>
      </c>
    </row>
    <row r="36" spans="1:3" x14ac:dyDescent="0.35">
      <c r="A36" s="3">
        <v>35</v>
      </c>
      <c r="B36" s="3" t="e">
        <f>'BD01'!L36</f>
        <v>#VALUE!</v>
      </c>
      <c r="C36" s="15" t="e">
        <f>'BD01'!M36</f>
        <v>#VALUE!</v>
      </c>
    </row>
    <row r="37" spans="1:3" x14ac:dyDescent="0.35">
      <c r="A37" s="3">
        <v>36</v>
      </c>
      <c r="B37" s="3" t="e">
        <f>'BD01'!L37</f>
        <v>#VALUE!</v>
      </c>
      <c r="C37" s="15" t="e">
        <f>'BD01'!M37</f>
        <v>#VALUE!</v>
      </c>
    </row>
    <row r="38" spans="1:3" x14ac:dyDescent="0.35">
      <c r="A38" s="3">
        <v>37</v>
      </c>
      <c r="B38" s="3" t="e">
        <f>'BD01'!L38</f>
        <v>#VALUE!</v>
      </c>
      <c r="C38" s="15" t="e">
        <f>'BD01'!M38</f>
        <v>#VALUE!</v>
      </c>
    </row>
    <row r="39" spans="1:3" x14ac:dyDescent="0.35">
      <c r="A39" s="3">
        <v>38</v>
      </c>
      <c r="B39" s="3" t="e">
        <f>'BD01'!L39</f>
        <v>#VALUE!</v>
      </c>
      <c r="C39" s="15" t="e">
        <f>'BD01'!M39</f>
        <v>#VALUE!</v>
      </c>
    </row>
    <row r="40" spans="1:3" x14ac:dyDescent="0.35">
      <c r="A40" s="3">
        <v>39</v>
      </c>
      <c r="B40" s="3" t="e">
        <f>'BD01'!L40</f>
        <v>#VALUE!</v>
      </c>
      <c r="C40" s="15" t="e">
        <f>'BD01'!M40</f>
        <v>#VALUE!</v>
      </c>
    </row>
    <row r="41" spans="1:3" x14ac:dyDescent="0.35">
      <c r="A41" s="3">
        <v>40</v>
      </c>
      <c r="B41" s="3" t="e">
        <f>'BD01'!L41</f>
        <v>#VALUE!</v>
      </c>
      <c r="C41" s="15" t="e">
        <f>'BD01'!M41</f>
        <v>#VALUE!</v>
      </c>
    </row>
    <row r="42" spans="1:3" x14ac:dyDescent="0.35">
      <c r="A42" s="3">
        <v>41</v>
      </c>
      <c r="B42" s="3" t="e">
        <f>'BD01'!L42</f>
        <v>#VALUE!</v>
      </c>
      <c r="C42" s="15" t="e">
        <f>'BD01'!M42</f>
        <v>#VALUE!</v>
      </c>
    </row>
    <row r="43" spans="1:3" x14ac:dyDescent="0.35">
      <c r="A43" s="3">
        <v>42</v>
      </c>
      <c r="B43" s="3" t="e">
        <f>'BD01'!L43</f>
        <v>#VALUE!</v>
      </c>
      <c r="C43" s="15" t="e">
        <f>'BD01'!M43</f>
        <v>#VALUE!</v>
      </c>
    </row>
    <row r="44" spans="1:3" x14ac:dyDescent="0.35">
      <c r="A44" s="3">
        <v>43</v>
      </c>
      <c r="B44" s="3" t="e">
        <f>'BD01'!L44</f>
        <v>#VALUE!</v>
      </c>
      <c r="C44" s="15" t="e">
        <f>'BD01'!M44</f>
        <v>#VALUE!</v>
      </c>
    </row>
    <row r="45" spans="1:3" x14ac:dyDescent="0.35">
      <c r="A45" s="3">
        <v>44</v>
      </c>
      <c r="B45" s="3" t="e">
        <f>'BD01'!L45</f>
        <v>#VALUE!</v>
      </c>
      <c r="C45" s="15" t="e">
        <f>'BD01'!M45</f>
        <v>#VALUE!</v>
      </c>
    </row>
    <row r="46" spans="1:3" x14ac:dyDescent="0.35">
      <c r="A46" s="3">
        <v>45</v>
      </c>
      <c r="B46" s="3" t="e">
        <f>'BD01'!L46</f>
        <v>#VALUE!</v>
      </c>
      <c r="C46" s="15" t="e">
        <f>'BD01'!M46</f>
        <v>#VALUE!</v>
      </c>
    </row>
    <row r="47" spans="1:3" x14ac:dyDescent="0.35">
      <c r="A47" s="3">
        <v>46</v>
      </c>
      <c r="B47" s="3" t="e">
        <f>'BD01'!L47</f>
        <v>#VALUE!</v>
      </c>
      <c r="C47" s="15" t="e">
        <f>'BD01'!M47</f>
        <v>#VALUE!</v>
      </c>
    </row>
    <row r="48" spans="1:3" x14ac:dyDescent="0.35">
      <c r="A48" s="3">
        <v>47</v>
      </c>
      <c r="B48" s="3" t="e">
        <f>'BD01'!L48</f>
        <v>#VALUE!</v>
      </c>
      <c r="C48" s="15" t="e">
        <f>'BD01'!M48</f>
        <v>#VALUE!</v>
      </c>
    </row>
    <row r="49" spans="1:3" x14ac:dyDescent="0.35">
      <c r="A49" s="3">
        <v>48</v>
      </c>
      <c r="B49" s="3" t="e">
        <f>'BD01'!L49</f>
        <v>#VALUE!</v>
      </c>
      <c r="C49" s="15" t="e">
        <f>'BD01'!M49</f>
        <v>#VALUE!</v>
      </c>
    </row>
    <row r="50" spans="1:3" x14ac:dyDescent="0.35">
      <c r="A50" s="3">
        <v>49</v>
      </c>
      <c r="B50" s="3" t="e">
        <f>'BD01'!L50</f>
        <v>#VALUE!</v>
      </c>
      <c r="C50" s="15" t="e">
        <f>'BD01'!M50</f>
        <v>#VALUE!</v>
      </c>
    </row>
    <row r="51" spans="1:3" x14ac:dyDescent="0.35">
      <c r="A51" s="3">
        <v>50</v>
      </c>
      <c r="B51" s="3" t="e">
        <f>'BD01'!L51</f>
        <v>#VALUE!</v>
      </c>
      <c r="C51" s="15" t="e">
        <f>'BD01'!M51</f>
        <v>#VALUE!</v>
      </c>
    </row>
    <row r="52" spans="1:3" x14ac:dyDescent="0.35">
      <c r="A52" s="3">
        <v>51</v>
      </c>
      <c r="B52" s="3" t="e">
        <f>'BD01'!L52</f>
        <v>#VALUE!</v>
      </c>
      <c r="C52" s="15" t="e">
        <f>'BD01'!M52</f>
        <v>#VALUE!</v>
      </c>
    </row>
    <row r="53" spans="1:3" x14ac:dyDescent="0.35">
      <c r="A53" s="3">
        <v>52</v>
      </c>
      <c r="B53" s="3" t="e">
        <f>'BD01'!L53</f>
        <v>#VALUE!</v>
      </c>
      <c r="C53" s="15" t="e">
        <f>'BD01'!M53</f>
        <v>#VALUE!</v>
      </c>
    </row>
    <row r="54" spans="1:3" x14ac:dyDescent="0.35">
      <c r="A54" s="3">
        <v>53</v>
      </c>
      <c r="B54" s="3" t="e">
        <f>'BD01'!L54</f>
        <v>#VALUE!</v>
      </c>
      <c r="C54" s="15" t="e">
        <f>'BD01'!M54</f>
        <v>#VALUE!</v>
      </c>
    </row>
    <row r="55" spans="1:3" x14ac:dyDescent="0.35">
      <c r="A55" s="3">
        <v>54</v>
      </c>
      <c r="B55" s="3" t="e">
        <f>'BD01'!L55</f>
        <v>#VALUE!</v>
      </c>
      <c r="C55" s="15" t="e">
        <f>'BD01'!M55</f>
        <v>#VALUE!</v>
      </c>
    </row>
    <row r="56" spans="1:3" x14ac:dyDescent="0.35">
      <c r="A56" s="3">
        <v>55</v>
      </c>
      <c r="B56" s="3" t="e">
        <f>'BD01'!L56</f>
        <v>#VALUE!</v>
      </c>
      <c r="C56" s="15" t="e">
        <f>'BD01'!M56</f>
        <v>#VALUE!</v>
      </c>
    </row>
    <row r="57" spans="1:3" x14ac:dyDescent="0.35">
      <c r="A57" s="3">
        <v>56</v>
      </c>
      <c r="B57" s="3" t="e">
        <f>'BD01'!L57</f>
        <v>#VALUE!</v>
      </c>
      <c r="C57" s="15" t="e">
        <f>'BD01'!M57</f>
        <v>#VALUE!</v>
      </c>
    </row>
    <row r="58" spans="1:3" x14ac:dyDescent="0.35">
      <c r="A58" s="3">
        <v>57</v>
      </c>
      <c r="B58" s="3" t="e">
        <f>'BD01'!L58</f>
        <v>#VALUE!</v>
      </c>
      <c r="C58" s="15" t="e">
        <f>'BD01'!M58</f>
        <v>#VALUE!</v>
      </c>
    </row>
    <row r="59" spans="1:3" x14ac:dyDescent="0.35">
      <c r="A59" s="3">
        <v>58</v>
      </c>
      <c r="B59" s="3" t="e">
        <f>'BD01'!L59</f>
        <v>#VALUE!</v>
      </c>
      <c r="C59" s="15" t="e">
        <f>'BD01'!M59</f>
        <v>#VALUE!</v>
      </c>
    </row>
    <row r="60" spans="1:3" x14ac:dyDescent="0.35">
      <c r="A60" s="3">
        <v>59</v>
      </c>
      <c r="B60" s="3" t="e">
        <f>'BD01'!L60</f>
        <v>#VALUE!</v>
      </c>
      <c r="C60" s="15" t="e">
        <f>'BD01'!M60</f>
        <v>#VALUE!</v>
      </c>
    </row>
    <row r="61" spans="1:3" x14ac:dyDescent="0.35">
      <c r="A61" s="3">
        <v>60</v>
      </c>
      <c r="B61" s="3" t="e">
        <f>'BD01'!L61</f>
        <v>#VALUE!</v>
      </c>
      <c r="C61" s="15" t="e">
        <f>'BD01'!M61</f>
        <v>#VALUE!</v>
      </c>
    </row>
    <row r="62" spans="1:3" x14ac:dyDescent="0.35">
      <c r="A62" s="3">
        <v>61</v>
      </c>
      <c r="B62" s="3" t="e">
        <f>'BD01'!L62</f>
        <v>#VALUE!</v>
      </c>
      <c r="C62" s="15" t="e">
        <f>'BD01'!M62</f>
        <v>#VALUE!</v>
      </c>
    </row>
    <row r="63" spans="1:3" x14ac:dyDescent="0.35">
      <c r="A63" s="3">
        <v>62</v>
      </c>
      <c r="B63" s="3" t="e">
        <f>'BD01'!L63</f>
        <v>#VALUE!</v>
      </c>
      <c r="C63" s="15" t="e">
        <f>'BD01'!M63</f>
        <v>#VALUE!</v>
      </c>
    </row>
    <row r="64" spans="1:3" x14ac:dyDescent="0.35">
      <c r="A64" s="3">
        <v>63</v>
      </c>
      <c r="B64" s="3" t="e">
        <f>'BD01'!L64</f>
        <v>#VALUE!</v>
      </c>
      <c r="C64" s="15" t="e">
        <f>'BD01'!M64</f>
        <v>#VALUE!</v>
      </c>
    </row>
    <row r="65" spans="1:3" x14ac:dyDescent="0.35">
      <c r="A65" s="3">
        <v>64</v>
      </c>
      <c r="B65" s="3" t="e">
        <f>'BD01'!L65</f>
        <v>#VALUE!</v>
      </c>
      <c r="C65" s="15" t="e">
        <f>'BD01'!M65</f>
        <v>#VALUE!</v>
      </c>
    </row>
    <row r="66" spans="1:3" x14ac:dyDescent="0.35">
      <c r="A66" s="3">
        <v>65</v>
      </c>
      <c r="B66" s="3" t="e">
        <f>'BD01'!L66</f>
        <v>#VALUE!</v>
      </c>
      <c r="C66" s="15" t="e">
        <f>'BD01'!M66</f>
        <v>#VALUE!</v>
      </c>
    </row>
    <row r="67" spans="1:3" x14ac:dyDescent="0.35">
      <c r="A67" s="3">
        <v>66</v>
      </c>
      <c r="B67" s="3" t="e">
        <f>'BD01'!L67</f>
        <v>#VALUE!</v>
      </c>
      <c r="C67" s="15" t="e">
        <f>'BD01'!M67</f>
        <v>#VALUE!</v>
      </c>
    </row>
    <row r="68" spans="1:3" x14ac:dyDescent="0.35">
      <c r="A68" s="3">
        <v>67</v>
      </c>
      <c r="B68" s="3" t="e">
        <f>'BD01'!L68</f>
        <v>#VALUE!</v>
      </c>
      <c r="C68" s="15" t="e">
        <f>'BD01'!M68</f>
        <v>#VALUE!</v>
      </c>
    </row>
    <row r="69" spans="1:3" x14ac:dyDescent="0.35">
      <c r="A69" s="3">
        <v>68</v>
      </c>
      <c r="B69" s="3" t="e">
        <f>'BD01'!L69</f>
        <v>#VALUE!</v>
      </c>
      <c r="C69" s="15" t="e">
        <f>'BD01'!M69</f>
        <v>#VALUE!</v>
      </c>
    </row>
    <row r="70" spans="1:3" x14ac:dyDescent="0.35">
      <c r="A70" s="3">
        <v>69</v>
      </c>
      <c r="B70" s="3" t="e">
        <f>'BD01'!L70</f>
        <v>#VALUE!</v>
      </c>
      <c r="C70" s="15" t="e">
        <f>'BD01'!M70</f>
        <v>#VALUE!</v>
      </c>
    </row>
    <row r="71" spans="1:3" x14ac:dyDescent="0.35">
      <c r="A71" s="3">
        <v>70</v>
      </c>
      <c r="B71" s="3" t="e">
        <f>'BD01'!L71</f>
        <v>#VALUE!</v>
      </c>
      <c r="C71" s="15" t="e">
        <f>'BD01'!M71</f>
        <v>#VALUE!</v>
      </c>
    </row>
    <row r="72" spans="1:3" x14ac:dyDescent="0.35">
      <c r="A72" s="3">
        <v>71</v>
      </c>
      <c r="B72" s="3" t="e">
        <f>'BD01'!L72</f>
        <v>#VALUE!</v>
      </c>
      <c r="C72" s="15" t="e">
        <f>'BD01'!M72</f>
        <v>#VALUE!</v>
      </c>
    </row>
    <row r="73" spans="1:3" x14ac:dyDescent="0.35">
      <c r="A73" s="3">
        <v>72</v>
      </c>
      <c r="B73" s="3" t="e">
        <f>'BD01'!L73</f>
        <v>#VALUE!</v>
      </c>
      <c r="C73" s="15" t="e">
        <f>'BD01'!M73</f>
        <v>#VALUE!</v>
      </c>
    </row>
    <row r="74" spans="1:3" x14ac:dyDescent="0.35">
      <c r="A74" s="3">
        <v>73</v>
      </c>
      <c r="B74" s="3" t="e">
        <f>'BD01'!L74</f>
        <v>#VALUE!</v>
      </c>
      <c r="C74" s="15" t="e">
        <f>'BD01'!M74</f>
        <v>#VALUE!</v>
      </c>
    </row>
    <row r="75" spans="1:3" x14ac:dyDescent="0.35">
      <c r="A75" s="3">
        <v>74</v>
      </c>
      <c r="B75" s="3" t="e">
        <f>'BD01'!L75</f>
        <v>#VALUE!</v>
      </c>
      <c r="C75" s="15" t="e">
        <f>'BD01'!M75</f>
        <v>#VALUE!</v>
      </c>
    </row>
    <row r="76" spans="1:3" x14ac:dyDescent="0.35">
      <c r="A76" s="3">
        <v>75</v>
      </c>
      <c r="B76" s="3" t="e">
        <f>'BD01'!L76</f>
        <v>#VALUE!</v>
      </c>
      <c r="C76" s="15" t="e">
        <f>'BD01'!M76</f>
        <v>#VALUE!</v>
      </c>
    </row>
    <row r="77" spans="1:3" x14ac:dyDescent="0.35">
      <c r="A77" s="3">
        <v>76</v>
      </c>
      <c r="B77" s="3" t="e">
        <f>'BD01'!L77</f>
        <v>#VALUE!</v>
      </c>
      <c r="C77" s="15" t="e">
        <f>'BD01'!M77</f>
        <v>#VALUE!</v>
      </c>
    </row>
    <row r="78" spans="1:3" x14ac:dyDescent="0.35">
      <c r="A78" s="3">
        <v>77</v>
      </c>
      <c r="B78" s="3" t="e">
        <f>'BD01'!L78</f>
        <v>#VALUE!</v>
      </c>
      <c r="C78" s="15" t="e">
        <f>'BD01'!M78</f>
        <v>#VALUE!</v>
      </c>
    </row>
    <row r="79" spans="1:3" x14ac:dyDescent="0.35">
      <c r="A79" s="3">
        <v>78</v>
      </c>
      <c r="B79" s="3" t="e">
        <f>'BD01'!L79</f>
        <v>#VALUE!</v>
      </c>
      <c r="C79" s="15" t="e">
        <f>'BD01'!M79</f>
        <v>#VALUE!</v>
      </c>
    </row>
    <row r="80" spans="1:3" x14ac:dyDescent="0.35">
      <c r="A80" s="3">
        <v>79</v>
      </c>
      <c r="B80" s="3" t="e">
        <f>'BD01'!L80</f>
        <v>#VALUE!</v>
      </c>
      <c r="C80" s="15" t="e">
        <f>'BD01'!M80</f>
        <v>#VALUE!</v>
      </c>
    </row>
    <row r="81" spans="1:3" x14ac:dyDescent="0.35">
      <c r="A81" s="3">
        <v>80</v>
      </c>
      <c r="B81" s="3" t="e">
        <f>'BD01'!L81</f>
        <v>#VALUE!</v>
      </c>
      <c r="C81" s="15" t="e">
        <f>'BD01'!M81</f>
        <v>#VALUE!</v>
      </c>
    </row>
    <row r="82" spans="1:3" x14ac:dyDescent="0.35">
      <c r="A82" s="3">
        <v>81</v>
      </c>
      <c r="B82" s="3" t="e">
        <f>'BD01'!L82</f>
        <v>#VALUE!</v>
      </c>
      <c r="C82" s="15" t="e">
        <f>'BD01'!M82</f>
        <v>#VALUE!</v>
      </c>
    </row>
    <row r="83" spans="1:3" x14ac:dyDescent="0.35">
      <c r="A83" s="3">
        <v>82</v>
      </c>
      <c r="B83" s="3" t="e">
        <f>'BD01'!L83</f>
        <v>#VALUE!</v>
      </c>
      <c r="C83" s="15" t="e">
        <f>'BD01'!M83</f>
        <v>#VALUE!</v>
      </c>
    </row>
    <row r="84" spans="1:3" x14ac:dyDescent="0.35">
      <c r="A84" s="3">
        <v>83</v>
      </c>
      <c r="B84" s="3" t="e">
        <f>'BD01'!L84</f>
        <v>#VALUE!</v>
      </c>
      <c r="C84" s="15" t="e">
        <f>'BD01'!M84</f>
        <v>#VALUE!</v>
      </c>
    </row>
    <row r="85" spans="1:3" x14ac:dyDescent="0.35">
      <c r="A85" s="3">
        <v>84</v>
      </c>
      <c r="B85" s="3" t="e">
        <f>'BD01'!L85</f>
        <v>#VALUE!</v>
      </c>
      <c r="C85" s="15" t="e">
        <f>'BD01'!M85</f>
        <v>#VALUE!</v>
      </c>
    </row>
    <row r="86" spans="1:3" x14ac:dyDescent="0.35">
      <c r="A86" s="3">
        <v>85</v>
      </c>
      <c r="B86" s="3" t="e">
        <f>'BD01'!L86</f>
        <v>#VALUE!</v>
      </c>
      <c r="C86" s="15" t="e">
        <f>'BD01'!M86</f>
        <v>#VALUE!</v>
      </c>
    </row>
    <row r="87" spans="1:3" x14ac:dyDescent="0.35">
      <c r="A87" s="3">
        <v>86</v>
      </c>
      <c r="B87" s="3" t="e">
        <f>'BD01'!L87</f>
        <v>#VALUE!</v>
      </c>
      <c r="C87" s="15" t="e">
        <f>'BD01'!M87</f>
        <v>#VALUE!</v>
      </c>
    </row>
    <row r="88" spans="1:3" x14ac:dyDescent="0.35">
      <c r="A88" s="3">
        <v>87</v>
      </c>
      <c r="B88" s="3" t="e">
        <f>'BD01'!L88</f>
        <v>#VALUE!</v>
      </c>
      <c r="C88" s="15" t="e">
        <f>'BD01'!M88</f>
        <v>#VALUE!</v>
      </c>
    </row>
    <row r="89" spans="1:3" x14ac:dyDescent="0.35">
      <c r="A89" s="3">
        <v>88</v>
      </c>
      <c r="B89" s="3" t="e">
        <f>'BD01'!L89</f>
        <v>#VALUE!</v>
      </c>
      <c r="C89" s="15" t="e">
        <f>'BD01'!M89</f>
        <v>#VALUE!</v>
      </c>
    </row>
    <row r="90" spans="1:3" x14ac:dyDescent="0.35">
      <c r="A90" s="3">
        <v>89</v>
      </c>
      <c r="B90" s="3" t="e">
        <f>'BD01'!L90</f>
        <v>#VALUE!</v>
      </c>
      <c r="C90" s="15" t="e">
        <f>'BD01'!M90</f>
        <v>#VALUE!</v>
      </c>
    </row>
    <row r="91" spans="1:3" x14ac:dyDescent="0.35">
      <c r="A91" s="3">
        <v>90</v>
      </c>
      <c r="B91" s="3" t="e">
        <f>'BD01'!L91</f>
        <v>#VALUE!</v>
      </c>
      <c r="C91" s="15" t="e">
        <f>'BD01'!M91</f>
        <v>#VALUE!</v>
      </c>
    </row>
    <row r="92" spans="1:3" x14ac:dyDescent="0.35">
      <c r="A92" s="3">
        <v>91</v>
      </c>
      <c r="B92" s="3" t="e">
        <f>'BD01'!L92</f>
        <v>#VALUE!</v>
      </c>
      <c r="C92" s="15" t="e">
        <f>'BD01'!M92</f>
        <v>#VALUE!</v>
      </c>
    </row>
    <row r="93" spans="1:3" x14ac:dyDescent="0.35">
      <c r="A93" s="3">
        <v>92</v>
      </c>
      <c r="B93" s="3" t="e">
        <f>'BD01'!L93</f>
        <v>#VALUE!</v>
      </c>
      <c r="C93" s="15" t="e">
        <f>'BD01'!M93</f>
        <v>#VALUE!</v>
      </c>
    </row>
    <row r="94" spans="1:3" x14ac:dyDescent="0.35">
      <c r="A94" s="3">
        <v>93</v>
      </c>
      <c r="B94" s="3" t="e">
        <f>'BD01'!L94</f>
        <v>#VALUE!</v>
      </c>
      <c r="C94" s="15" t="e">
        <f>'BD01'!M94</f>
        <v>#VALUE!</v>
      </c>
    </row>
    <row r="95" spans="1:3" x14ac:dyDescent="0.35">
      <c r="A95" s="3">
        <v>94</v>
      </c>
      <c r="B95" s="3" t="e">
        <f>'BD01'!L95</f>
        <v>#VALUE!</v>
      </c>
      <c r="C95" s="15" t="e">
        <f>'BD01'!M95</f>
        <v>#VALUE!</v>
      </c>
    </row>
    <row r="96" spans="1:3" x14ac:dyDescent="0.35">
      <c r="A96" s="3">
        <v>95</v>
      </c>
      <c r="B96" s="3" t="e">
        <f>'BD01'!L96</f>
        <v>#VALUE!</v>
      </c>
      <c r="C96" s="15" t="e">
        <f>'BD01'!M96</f>
        <v>#VALUE!</v>
      </c>
    </row>
    <row r="97" spans="1:3" x14ac:dyDescent="0.35">
      <c r="A97" s="3">
        <v>96</v>
      </c>
      <c r="B97" s="3" t="e">
        <f>'BD01'!L97</f>
        <v>#VALUE!</v>
      </c>
      <c r="C97" s="15" t="e">
        <f>'BD01'!M97</f>
        <v>#VALUE!</v>
      </c>
    </row>
    <row r="98" spans="1:3" x14ac:dyDescent="0.35">
      <c r="A98" s="3">
        <v>97</v>
      </c>
      <c r="B98" s="3" t="e">
        <f>'BD01'!L98</f>
        <v>#VALUE!</v>
      </c>
      <c r="C98" s="15" t="e">
        <f>'BD01'!M98</f>
        <v>#VALUE!</v>
      </c>
    </row>
    <row r="99" spans="1:3" x14ac:dyDescent="0.35">
      <c r="A99" s="3">
        <v>98</v>
      </c>
      <c r="B99" s="3" t="e">
        <f>'BD01'!L99</f>
        <v>#VALUE!</v>
      </c>
      <c r="C99" s="15" t="e">
        <f>'BD01'!M99</f>
        <v>#VALUE!</v>
      </c>
    </row>
    <row r="100" spans="1:3" x14ac:dyDescent="0.35">
      <c r="A100" s="3">
        <v>99</v>
      </c>
      <c r="B100" s="3" t="e">
        <f>'BD01'!L100</f>
        <v>#VALUE!</v>
      </c>
      <c r="C100" s="15" t="e">
        <f>'BD01'!M100</f>
        <v>#VALUE!</v>
      </c>
    </row>
    <row r="101" spans="1:3" x14ac:dyDescent="0.35">
      <c r="A101" s="3">
        <v>100</v>
      </c>
      <c r="B101" s="3" t="e">
        <f>'BD01'!L101</f>
        <v>#VALUE!</v>
      </c>
      <c r="C101" s="15" t="e">
        <f>'BD01'!M101</f>
        <v>#VALUE!</v>
      </c>
    </row>
    <row r="102" spans="1:3" x14ac:dyDescent="0.35">
      <c r="A102" s="3">
        <v>101</v>
      </c>
      <c r="B102" s="3" t="e">
        <f>'BD01'!L102</f>
        <v>#VALUE!</v>
      </c>
      <c r="C102" s="15" t="e">
        <f>'BD01'!M102</f>
        <v>#VALUE!</v>
      </c>
    </row>
    <row r="103" spans="1:3" x14ac:dyDescent="0.35">
      <c r="A103" s="3">
        <v>102</v>
      </c>
      <c r="B103" s="3" t="e">
        <f>'BD01'!L103</f>
        <v>#VALUE!</v>
      </c>
      <c r="C103" s="15" t="e">
        <f>'BD01'!M103</f>
        <v>#VALUE!</v>
      </c>
    </row>
    <row r="104" spans="1:3" x14ac:dyDescent="0.35">
      <c r="A104" s="3">
        <v>103</v>
      </c>
      <c r="B104" s="3" t="e">
        <f>'BD01'!L104</f>
        <v>#VALUE!</v>
      </c>
      <c r="C104" s="15" t="e">
        <f>'BD01'!M104</f>
        <v>#VALUE!</v>
      </c>
    </row>
    <row r="105" spans="1:3" x14ac:dyDescent="0.35">
      <c r="A105" s="3">
        <v>104</v>
      </c>
      <c r="B105" s="3" t="e">
        <f>'BD01'!L105</f>
        <v>#VALUE!</v>
      </c>
      <c r="C105" s="15" t="e">
        <f>'BD01'!M105</f>
        <v>#VALUE!</v>
      </c>
    </row>
    <row r="106" spans="1:3" x14ac:dyDescent="0.35">
      <c r="A106" s="3">
        <v>105</v>
      </c>
      <c r="B106" s="3" t="e">
        <f>'BD01'!L106</f>
        <v>#VALUE!</v>
      </c>
      <c r="C106" s="15" t="e">
        <f>'BD01'!M106</f>
        <v>#VALUE!</v>
      </c>
    </row>
    <row r="107" spans="1:3" x14ac:dyDescent="0.35">
      <c r="A107" s="3">
        <v>106</v>
      </c>
      <c r="B107" s="3" t="e">
        <f>'BD01'!L107</f>
        <v>#VALUE!</v>
      </c>
      <c r="C107" s="15" t="e">
        <f>'BD01'!M107</f>
        <v>#VALUE!</v>
      </c>
    </row>
    <row r="108" spans="1:3" x14ac:dyDescent="0.35">
      <c r="A108" s="3">
        <v>107</v>
      </c>
      <c r="B108" s="3" t="e">
        <f>'BD01'!L108</f>
        <v>#VALUE!</v>
      </c>
      <c r="C108" s="15" t="e">
        <f>'BD01'!M108</f>
        <v>#VALUE!</v>
      </c>
    </row>
    <row r="109" spans="1:3" x14ac:dyDescent="0.35">
      <c r="A109" s="3">
        <v>108</v>
      </c>
      <c r="B109" s="3" t="e">
        <f>'BD01'!L109</f>
        <v>#VALUE!</v>
      </c>
      <c r="C109" s="15" t="e">
        <f>'BD01'!M109</f>
        <v>#VALUE!</v>
      </c>
    </row>
    <row r="110" spans="1:3" x14ac:dyDescent="0.35">
      <c r="A110" s="3">
        <v>109</v>
      </c>
      <c r="B110" s="3" t="e">
        <f>'BD01'!L110</f>
        <v>#VALUE!</v>
      </c>
      <c r="C110" s="15" t="e">
        <f>'BD01'!M110</f>
        <v>#VALUE!</v>
      </c>
    </row>
    <row r="111" spans="1:3" x14ac:dyDescent="0.35">
      <c r="A111" s="3">
        <v>110</v>
      </c>
      <c r="B111" s="3" t="e">
        <f>'BD01'!L111</f>
        <v>#VALUE!</v>
      </c>
      <c r="C111" s="15" t="e">
        <f>'BD01'!M111</f>
        <v>#VALUE!</v>
      </c>
    </row>
    <row r="112" spans="1:3" x14ac:dyDescent="0.35">
      <c r="A112" s="3">
        <v>111</v>
      </c>
      <c r="B112" s="3" t="e">
        <f>'BD01'!L112</f>
        <v>#VALUE!</v>
      </c>
      <c r="C112" s="15" t="e">
        <f>'BD01'!M112</f>
        <v>#VALUE!</v>
      </c>
    </row>
    <row r="113" spans="1:3" x14ac:dyDescent="0.35">
      <c r="A113" s="3">
        <v>112</v>
      </c>
      <c r="B113" s="3" t="e">
        <f>'BD01'!L113</f>
        <v>#VALUE!</v>
      </c>
      <c r="C113" s="15" t="e">
        <f>'BD01'!M113</f>
        <v>#VALUE!</v>
      </c>
    </row>
    <row r="114" spans="1:3" x14ac:dyDescent="0.35">
      <c r="A114" s="3">
        <v>113</v>
      </c>
      <c r="B114" s="3" t="e">
        <f>'BD01'!L114</f>
        <v>#VALUE!</v>
      </c>
      <c r="C114" s="15" t="e">
        <f>'BD01'!M114</f>
        <v>#VALUE!</v>
      </c>
    </row>
    <row r="115" spans="1:3" x14ac:dyDescent="0.35">
      <c r="A115" s="3">
        <v>114</v>
      </c>
      <c r="B115" s="3" t="e">
        <f>'BD01'!L115</f>
        <v>#VALUE!</v>
      </c>
      <c r="C115" s="15" t="e">
        <f>'BD01'!M115</f>
        <v>#VALUE!</v>
      </c>
    </row>
    <row r="116" spans="1:3" x14ac:dyDescent="0.35">
      <c r="A116" s="3">
        <v>115</v>
      </c>
      <c r="B116" s="3" t="e">
        <f>'BD01'!L116</f>
        <v>#VALUE!</v>
      </c>
      <c r="C116" s="15" t="e">
        <f>'BD01'!M116</f>
        <v>#VALUE!</v>
      </c>
    </row>
    <row r="117" spans="1:3" x14ac:dyDescent="0.35">
      <c r="A117" s="3">
        <v>116</v>
      </c>
      <c r="B117" s="3" t="e">
        <f>'BD01'!L117</f>
        <v>#VALUE!</v>
      </c>
      <c r="C117" s="15" t="e">
        <f>'BD01'!M117</f>
        <v>#VALUE!</v>
      </c>
    </row>
    <row r="118" spans="1:3" x14ac:dyDescent="0.35">
      <c r="A118" s="3">
        <v>117</v>
      </c>
      <c r="B118" s="3" t="e">
        <f>'BD01'!L118</f>
        <v>#VALUE!</v>
      </c>
      <c r="C118" s="15" t="e">
        <f>'BD01'!M118</f>
        <v>#VALUE!</v>
      </c>
    </row>
    <row r="119" spans="1:3" x14ac:dyDescent="0.35">
      <c r="A119" s="3">
        <v>118</v>
      </c>
      <c r="B119" s="3" t="e">
        <f>'BD01'!L119</f>
        <v>#VALUE!</v>
      </c>
      <c r="C119" s="15" t="e">
        <f>'BD01'!M119</f>
        <v>#VALUE!</v>
      </c>
    </row>
    <row r="120" spans="1:3" x14ac:dyDescent="0.35">
      <c r="A120" s="3">
        <v>119</v>
      </c>
      <c r="B120" s="3" t="e">
        <f>'BD01'!L120</f>
        <v>#VALUE!</v>
      </c>
      <c r="C120" s="15" t="e">
        <f>'BD01'!M120</f>
        <v>#VALUE!</v>
      </c>
    </row>
    <row r="121" spans="1:3" x14ac:dyDescent="0.35">
      <c r="A121" s="3">
        <v>120</v>
      </c>
      <c r="B121" s="3" t="e">
        <f>'BD01'!L121</f>
        <v>#VALUE!</v>
      </c>
      <c r="C121" s="15" t="e">
        <f>'BD01'!M121</f>
        <v>#VALUE!</v>
      </c>
    </row>
    <row r="122" spans="1:3" x14ac:dyDescent="0.35">
      <c r="A122" s="3">
        <v>121</v>
      </c>
      <c r="B122" s="3" t="e">
        <f>'BD01'!L122</f>
        <v>#VALUE!</v>
      </c>
      <c r="C122" s="15" t="e">
        <f>'BD01'!M122</f>
        <v>#VALUE!</v>
      </c>
    </row>
    <row r="123" spans="1:3" x14ac:dyDescent="0.35">
      <c r="A123" s="3">
        <v>122</v>
      </c>
      <c r="B123" s="3" t="e">
        <f>'BD01'!L123</f>
        <v>#VALUE!</v>
      </c>
      <c r="C123" s="15" t="e">
        <f>'BD01'!M123</f>
        <v>#VALUE!</v>
      </c>
    </row>
    <row r="124" spans="1:3" x14ac:dyDescent="0.35">
      <c r="A124" s="3">
        <v>123</v>
      </c>
      <c r="B124" s="3" t="e">
        <f>'BD01'!L124</f>
        <v>#VALUE!</v>
      </c>
      <c r="C124" s="15" t="e">
        <f>'BD01'!M124</f>
        <v>#VALUE!</v>
      </c>
    </row>
    <row r="125" spans="1:3" x14ac:dyDescent="0.35">
      <c r="A125" s="3">
        <v>124</v>
      </c>
      <c r="B125" s="3" t="e">
        <f>'BD01'!L125</f>
        <v>#VALUE!</v>
      </c>
      <c r="C125" s="15" t="e">
        <f>'BD01'!M125</f>
        <v>#VALUE!</v>
      </c>
    </row>
    <row r="126" spans="1:3" x14ac:dyDescent="0.35">
      <c r="A126" s="3">
        <v>125</v>
      </c>
      <c r="B126" s="3" t="e">
        <f>'BD01'!L126</f>
        <v>#VALUE!</v>
      </c>
      <c r="C126" s="15" t="e">
        <f>'BD01'!M126</f>
        <v>#VALUE!</v>
      </c>
    </row>
    <row r="127" spans="1:3" x14ac:dyDescent="0.35">
      <c r="A127" s="3">
        <v>126</v>
      </c>
      <c r="B127" s="3" t="e">
        <f>'BD01'!L127</f>
        <v>#VALUE!</v>
      </c>
      <c r="C127" s="15" t="e">
        <f>'BD01'!M127</f>
        <v>#VALUE!</v>
      </c>
    </row>
    <row r="128" spans="1:3" x14ac:dyDescent="0.35">
      <c r="A128" s="3">
        <v>127</v>
      </c>
      <c r="B128" s="3" t="e">
        <f>'BD01'!L128</f>
        <v>#VALUE!</v>
      </c>
      <c r="C128" s="15" t="e">
        <f>'BD01'!M128</f>
        <v>#VALUE!</v>
      </c>
    </row>
    <row r="129" spans="1:3" x14ac:dyDescent="0.35">
      <c r="A129" s="3">
        <v>128</v>
      </c>
      <c r="B129" s="3" t="e">
        <f>'BD01'!L129</f>
        <v>#VALUE!</v>
      </c>
      <c r="C129" s="15" t="e">
        <f>'BD01'!M129</f>
        <v>#VALUE!</v>
      </c>
    </row>
    <row r="130" spans="1:3" x14ac:dyDescent="0.35">
      <c r="A130" s="3">
        <v>129</v>
      </c>
      <c r="B130" s="3" t="e">
        <f>'BD01'!L130</f>
        <v>#VALUE!</v>
      </c>
      <c r="C130" s="15" t="e">
        <f>'BD01'!M130</f>
        <v>#VALUE!</v>
      </c>
    </row>
    <row r="131" spans="1:3" x14ac:dyDescent="0.35">
      <c r="A131" s="3">
        <v>130</v>
      </c>
      <c r="B131" s="3" t="e">
        <f>'BD01'!L131</f>
        <v>#VALUE!</v>
      </c>
      <c r="C131" s="15" t="e">
        <f>'BD01'!M131</f>
        <v>#VALUE!</v>
      </c>
    </row>
    <row r="132" spans="1:3" x14ac:dyDescent="0.35">
      <c r="A132" s="3">
        <v>131</v>
      </c>
      <c r="B132" s="3" t="e">
        <f>'BD01'!L132</f>
        <v>#VALUE!</v>
      </c>
      <c r="C132" s="15" t="e">
        <f>'BD01'!M132</f>
        <v>#VALUE!</v>
      </c>
    </row>
    <row r="133" spans="1:3" x14ac:dyDescent="0.35">
      <c r="A133" s="3">
        <v>132</v>
      </c>
      <c r="B133" s="3" t="e">
        <f>'BD01'!L133</f>
        <v>#VALUE!</v>
      </c>
      <c r="C133" s="15" t="e">
        <f>'BD01'!M133</f>
        <v>#VALUE!</v>
      </c>
    </row>
    <row r="134" spans="1:3" x14ac:dyDescent="0.35">
      <c r="A134" s="3">
        <v>133</v>
      </c>
      <c r="B134" s="3" t="e">
        <f>'BD01'!L134</f>
        <v>#VALUE!</v>
      </c>
      <c r="C134" s="15" t="e">
        <f>'BD01'!M134</f>
        <v>#VALUE!</v>
      </c>
    </row>
    <row r="135" spans="1:3" x14ac:dyDescent="0.35">
      <c r="A135" s="3">
        <v>134</v>
      </c>
      <c r="B135" s="3" t="e">
        <f>'BD01'!L135</f>
        <v>#VALUE!</v>
      </c>
      <c r="C135" s="15" t="e">
        <f>'BD01'!M135</f>
        <v>#VALUE!</v>
      </c>
    </row>
    <row r="136" spans="1:3" x14ac:dyDescent="0.35">
      <c r="A136" s="3">
        <v>135</v>
      </c>
      <c r="B136" s="3" t="e">
        <f>'BD01'!L136</f>
        <v>#VALUE!</v>
      </c>
      <c r="C136" s="15" t="e">
        <f>'BD01'!M136</f>
        <v>#VALUE!</v>
      </c>
    </row>
    <row r="137" spans="1:3" x14ac:dyDescent="0.35">
      <c r="A137" s="3">
        <v>136</v>
      </c>
      <c r="B137" s="3" t="e">
        <f>'BD01'!L137</f>
        <v>#VALUE!</v>
      </c>
      <c r="C137" s="15" t="e">
        <f>'BD01'!M137</f>
        <v>#VALUE!</v>
      </c>
    </row>
    <row r="138" spans="1:3" x14ac:dyDescent="0.35">
      <c r="A138" s="3">
        <v>137</v>
      </c>
      <c r="B138" s="3" t="e">
        <f>'BD01'!L138</f>
        <v>#VALUE!</v>
      </c>
      <c r="C138" s="15" t="e">
        <f>'BD01'!M138</f>
        <v>#VALUE!</v>
      </c>
    </row>
    <row r="139" spans="1:3" x14ac:dyDescent="0.35">
      <c r="A139" s="3">
        <v>138</v>
      </c>
      <c r="B139" s="3" t="e">
        <f>'BD01'!L139</f>
        <v>#VALUE!</v>
      </c>
      <c r="C139" s="15" t="e">
        <f>'BD01'!M139</f>
        <v>#VALUE!</v>
      </c>
    </row>
    <row r="140" spans="1:3" x14ac:dyDescent="0.35">
      <c r="A140" s="3">
        <v>139</v>
      </c>
      <c r="B140" s="3" t="e">
        <f>'BD01'!L140</f>
        <v>#VALUE!</v>
      </c>
      <c r="C140" s="15" t="e">
        <f>'BD01'!M140</f>
        <v>#VALUE!</v>
      </c>
    </row>
    <row r="141" spans="1:3" x14ac:dyDescent="0.35">
      <c r="A141" s="3">
        <v>140</v>
      </c>
      <c r="B141" s="3" t="e">
        <f>'BD01'!L141</f>
        <v>#VALUE!</v>
      </c>
      <c r="C141" s="15" t="e">
        <f>'BD01'!M141</f>
        <v>#VALUE!</v>
      </c>
    </row>
    <row r="142" spans="1:3" x14ac:dyDescent="0.35">
      <c r="A142" s="3">
        <v>141</v>
      </c>
      <c r="B142" s="3" t="e">
        <f>'BD01'!L142</f>
        <v>#VALUE!</v>
      </c>
      <c r="C142" s="15" t="e">
        <f>'BD01'!M142</f>
        <v>#VALUE!</v>
      </c>
    </row>
    <row r="143" spans="1:3" x14ac:dyDescent="0.35">
      <c r="A143" s="3">
        <v>142</v>
      </c>
      <c r="B143" s="3" t="e">
        <f>'BD01'!L143</f>
        <v>#VALUE!</v>
      </c>
      <c r="C143" s="15" t="e">
        <f>'BD01'!M143</f>
        <v>#VALUE!</v>
      </c>
    </row>
    <row r="144" spans="1:3" x14ac:dyDescent="0.35">
      <c r="A144" s="3">
        <v>143</v>
      </c>
      <c r="B144" s="3" t="e">
        <f>'BD01'!L144</f>
        <v>#VALUE!</v>
      </c>
      <c r="C144" s="15" t="e">
        <f>'BD01'!M144</f>
        <v>#VALUE!</v>
      </c>
    </row>
    <row r="145" spans="1:3" x14ac:dyDescent="0.35">
      <c r="A145" s="3">
        <v>144</v>
      </c>
      <c r="B145" s="3" t="e">
        <f>'BD01'!L145</f>
        <v>#VALUE!</v>
      </c>
      <c r="C145" s="15" t="e">
        <f>'BD01'!M145</f>
        <v>#VALUE!</v>
      </c>
    </row>
    <row r="146" spans="1:3" x14ac:dyDescent="0.35">
      <c r="A146" s="3">
        <v>145</v>
      </c>
      <c r="B146" s="3" t="e">
        <f>'BD01'!L146</f>
        <v>#VALUE!</v>
      </c>
      <c r="C146" s="15" t="e">
        <f>'BD01'!M146</f>
        <v>#VALUE!</v>
      </c>
    </row>
    <row r="147" spans="1:3" x14ac:dyDescent="0.35">
      <c r="A147" s="3">
        <v>146</v>
      </c>
      <c r="B147" s="3" t="e">
        <f>'BD01'!L147</f>
        <v>#VALUE!</v>
      </c>
      <c r="C147" s="15" t="e">
        <f>'BD01'!M147</f>
        <v>#VALUE!</v>
      </c>
    </row>
    <row r="148" spans="1:3" x14ac:dyDescent="0.35">
      <c r="A148" s="3">
        <v>147</v>
      </c>
      <c r="B148" s="3" t="e">
        <f>'BD01'!L148</f>
        <v>#VALUE!</v>
      </c>
      <c r="C148" s="15" t="e">
        <f>'BD01'!M148</f>
        <v>#VALUE!</v>
      </c>
    </row>
    <row r="149" spans="1:3" x14ac:dyDescent="0.35">
      <c r="A149" s="3">
        <v>148</v>
      </c>
      <c r="B149" s="3" t="e">
        <f>'BD01'!L149</f>
        <v>#VALUE!</v>
      </c>
      <c r="C149" s="15" t="e">
        <f>'BD01'!M149</f>
        <v>#VALUE!</v>
      </c>
    </row>
    <row r="150" spans="1:3" x14ac:dyDescent="0.35">
      <c r="A150" s="3">
        <v>149</v>
      </c>
      <c r="B150" s="3" t="e">
        <f>'BD01'!L150</f>
        <v>#VALUE!</v>
      </c>
      <c r="C150" s="15" t="e">
        <f>'BD01'!M150</f>
        <v>#VALUE!</v>
      </c>
    </row>
    <row r="151" spans="1:3" x14ac:dyDescent="0.35">
      <c r="A151" s="3">
        <v>150</v>
      </c>
      <c r="B151" s="3" t="e">
        <f>'BD01'!L151</f>
        <v>#VALUE!</v>
      </c>
      <c r="C151" s="15" t="e">
        <f>'BD01'!M151</f>
        <v>#VALUE!</v>
      </c>
    </row>
    <row r="152" spans="1:3" x14ac:dyDescent="0.35">
      <c r="A152" s="3">
        <v>151</v>
      </c>
      <c r="B152" s="3" t="e">
        <f>'BD01'!L152</f>
        <v>#VALUE!</v>
      </c>
      <c r="C152" s="15" t="e">
        <f>'BD01'!M152</f>
        <v>#VALUE!</v>
      </c>
    </row>
    <row r="153" spans="1:3" x14ac:dyDescent="0.35">
      <c r="A153" s="3">
        <v>152</v>
      </c>
      <c r="B153" s="3" t="e">
        <f>'BD01'!L153</f>
        <v>#VALUE!</v>
      </c>
      <c r="C153" s="15" t="e">
        <f>'BD01'!M153</f>
        <v>#VALUE!</v>
      </c>
    </row>
    <row r="154" spans="1:3" x14ac:dyDescent="0.35">
      <c r="A154" s="3">
        <v>153</v>
      </c>
      <c r="B154" s="3" t="e">
        <f>'BD01'!L154</f>
        <v>#VALUE!</v>
      </c>
      <c r="C154" s="15" t="e">
        <f>'BD01'!M154</f>
        <v>#VALUE!</v>
      </c>
    </row>
    <row r="155" spans="1:3" x14ac:dyDescent="0.35">
      <c r="A155" s="3">
        <v>154</v>
      </c>
      <c r="B155" s="3" t="e">
        <f>'BD01'!L155</f>
        <v>#VALUE!</v>
      </c>
      <c r="C155" s="15" t="e">
        <f>'BD01'!M155</f>
        <v>#VALUE!</v>
      </c>
    </row>
    <row r="156" spans="1:3" x14ac:dyDescent="0.35">
      <c r="A156" s="3">
        <v>155</v>
      </c>
      <c r="B156" s="3" t="e">
        <f>'BD01'!L156</f>
        <v>#VALUE!</v>
      </c>
      <c r="C156" s="15" t="e">
        <f>'BD01'!M156</f>
        <v>#VALUE!</v>
      </c>
    </row>
    <row r="157" spans="1:3" x14ac:dyDescent="0.35">
      <c r="A157" s="3">
        <v>156</v>
      </c>
      <c r="B157" s="3" t="e">
        <f>'BD01'!L157</f>
        <v>#VALUE!</v>
      </c>
      <c r="C157" s="15" t="e">
        <f>'BD01'!M157</f>
        <v>#VALUE!</v>
      </c>
    </row>
    <row r="158" spans="1:3" x14ac:dyDescent="0.35">
      <c r="A158" s="3">
        <v>157</v>
      </c>
      <c r="B158" s="3" t="e">
        <f>'BD01'!L158</f>
        <v>#VALUE!</v>
      </c>
      <c r="C158" s="15" t="e">
        <f>'BD01'!M158</f>
        <v>#VALUE!</v>
      </c>
    </row>
    <row r="159" spans="1:3" x14ac:dyDescent="0.35">
      <c r="A159" s="3">
        <v>158</v>
      </c>
      <c r="B159" s="3" t="e">
        <f>'BD01'!L159</f>
        <v>#VALUE!</v>
      </c>
      <c r="C159" s="15" t="e">
        <f>'BD01'!M159</f>
        <v>#VALUE!</v>
      </c>
    </row>
    <row r="160" spans="1:3" x14ac:dyDescent="0.35">
      <c r="A160" s="3">
        <v>159</v>
      </c>
      <c r="B160" s="3" t="e">
        <f>'BD01'!L160</f>
        <v>#VALUE!</v>
      </c>
      <c r="C160" s="15" t="e">
        <f>'BD01'!M160</f>
        <v>#VALUE!</v>
      </c>
    </row>
    <row r="161" spans="1:3" x14ac:dyDescent="0.35">
      <c r="A161" s="3">
        <v>160</v>
      </c>
      <c r="B161" s="3" t="e">
        <f>'BD01'!L161</f>
        <v>#VALUE!</v>
      </c>
      <c r="C161" s="15" t="e">
        <f>'BD01'!M161</f>
        <v>#VALUE!</v>
      </c>
    </row>
    <row r="162" spans="1:3" x14ac:dyDescent="0.35">
      <c r="A162" s="3">
        <v>161</v>
      </c>
      <c r="B162" s="3" t="e">
        <f>'BD01'!L162</f>
        <v>#VALUE!</v>
      </c>
      <c r="C162" s="15" t="e">
        <f>'BD01'!M162</f>
        <v>#VALUE!</v>
      </c>
    </row>
    <row r="163" spans="1:3" x14ac:dyDescent="0.35">
      <c r="A163" s="3">
        <v>162</v>
      </c>
      <c r="B163" s="3" t="e">
        <f>'BD01'!L163</f>
        <v>#VALUE!</v>
      </c>
      <c r="C163" s="15" t="e">
        <f>'BD01'!M163</f>
        <v>#VALUE!</v>
      </c>
    </row>
    <row r="164" spans="1:3" x14ac:dyDescent="0.35">
      <c r="A164" s="3">
        <v>163</v>
      </c>
      <c r="B164" s="3" t="e">
        <f>'BD01'!L164</f>
        <v>#VALUE!</v>
      </c>
      <c r="C164" s="15" t="e">
        <f>'BD01'!M164</f>
        <v>#VALUE!</v>
      </c>
    </row>
    <row r="165" spans="1:3" x14ac:dyDescent="0.35">
      <c r="A165" s="3">
        <v>164</v>
      </c>
      <c r="B165" s="3" t="e">
        <f>'BD01'!L165</f>
        <v>#VALUE!</v>
      </c>
      <c r="C165" s="15" t="e">
        <f>'BD01'!M165</f>
        <v>#VALUE!</v>
      </c>
    </row>
    <row r="166" spans="1:3" x14ac:dyDescent="0.35">
      <c r="A166" s="3">
        <v>165</v>
      </c>
      <c r="B166" s="3" t="e">
        <f>'BD01'!L166</f>
        <v>#VALUE!</v>
      </c>
      <c r="C166" s="15" t="e">
        <f>'BD01'!M166</f>
        <v>#VALUE!</v>
      </c>
    </row>
    <row r="167" spans="1:3" x14ac:dyDescent="0.35">
      <c r="A167" s="3">
        <v>166</v>
      </c>
      <c r="B167" s="3" t="e">
        <f>'BD01'!L167</f>
        <v>#VALUE!</v>
      </c>
      <c r="C167" s="15" t="e">
        <f>'BD01'!M167</f>
        <v>#VALUE!</v>
      </c>
    </row>
    <row r="168" spans="1:3" x14ac:dyDescent="0.35">
      <c r="A168" s="3">
        <v>167</v>
      </c>
      <c r="B168" s="3" t="e">
        <f>'BD01'!L168</f>
        <v>#VALUE!</v>
      </c>
      <c r="C168" s="15" t="e">
        <f>'BD01'!M168</f>
        <v>#VALUE!</v>
      </c>
    </row>
    <row r="169" spans="1:3" x14ac:dyDescent="0.35">
      <c r="A169" s="3">
        <v>168</v>
      </c>
      <c r="B169" s="3" t="e">
        <f>'BD01'!L169</f>
        <v>#VALUE!</v>
      </c>
      <c r="C169" s="15" t="e">
        <f>'BD01'!M169</f>
        <v>#VALUE!</v>
      </c>
    </row>
    <row r="170" spans="1:3" x14ac:dyDescent="0.35">
      <c r="A170" s="3">
        <v>169</v>
      </c>
      <c r="B170" s="3" t="e">
        <f>'BD01'!L170</f>
        <v>#VALUE!</v>
      </c>
      <c r="C170" s="15" t="e">
        <f>'BD01'!M170</f>
        <v>#VALUE!</v>
      </c>
    </row>
    <row r="171" spans="1:3" x14ac:dyDescent="0.35">
      <c r="A171" s="3">
        <v>170</v>
      </c>
      <c r="B171" s="3" t="e">
        <f>'BD01'!L171</f>
        <v>#VALUE!</v>
      </c>
      <c r="C171" s="15" t="e">
        <f>'BD01'!M171</f>
        <v>#VALUE!</v>
      </c>
    </row>
    <row r="172" spans="1:3" x14ac:dyDescent="0.35">
      <c r="A172" s="3">
        <v>171</v>
      </c>
      <c r="B172" s="3" t="e">
        <f>'BD01'!L172</f>
        <v>#VALUE!</v>
      </c>
      <c r="C172" s="15" t="e">
        <f>'BD01'!M172</f>
        <v>#VALUE!</v>
      </c>
    </row>
    <row r="173" spans="1:3" x14ac:dyDescent="0.35">
      <c r="A173" s="3">
        <v>172</v>
      </c>
      <c r="B173" s="3" t="e">
        <f>'BD01'!L173</f>
        <v>#VALUE!</v>
      </c>
      <c r="C173" s="15" t="e">
        <f>'BD01'!M173</f>
        <v>#VALUE!</v>
      </c>
    </row>
    <row r="174" spans="1:3" x14ac:dyDescent="0.35">
      <c r="A174" s="3">
        <v>173</v>
      </c>
      <c r="B174" s="3" t="e">
        <f>'BD01'!L174</f>
        <v>#VALUE!</v>
      </c>
      <c r="C174" s="15" t="e">
        <f>'BD01'!M174</f>
        <v>#VALUE!</v>
      </c>
    </row>
    <row r="175" spans="1:3" x14ac:dyDescent="0.35">
      <c r="A175" s="3">
        <v>174</v>
      </c>
      <c r="B175" s="3" t="e">
        <f>'BD01'!L175</f>
        <v>#VALUE!</v>
      </c>
      <c r="C175" s="15" t="e">
        <f>'BD01'!M175</f>
        <v>#VALUE!</v>
      </c>
    </row>
    <row r="176" spans="1:3" x14ac:dyDescent="0.35">
      <c r="A176" s="3">
        <v>175</v>
      </c>
      <c r="B176" s="3" t="e">
        <f>'BD01'!L176</f>
        <v>#VALUE!</v>
      </c>
      <c r="C176" s="15" t="e">
        <f>'BD01'!M176</f>
        <v>#VALUE!</v>
      </c>
    </row>
    <row r="177" spans="1:3" x14ac:dyDescent="0.35">
      <c r="A177" s="3">
        <v>176</v>
      </c>
      <c r="B177" s="3" t="e">
        <f>'BD01'!L177</f>
        <v>#VALUE!</v>
      </c>
      <c r="C177" s="15" t="e">
        <f>'BD01'!M177</f>
        <v>#VALUE!</v>
      </c>
    </row>
    <row r="178" spans="1:3" x14ac:dyDescent="0.35">
      <c r="A178" s="3">
        <v>177</v>
      </c>
      <c r="B178" s="3" t="e">
        <f>'BD01'!L178</f>
        <v>#VALUE!</v>
      </c>
      <c r="C178" s="15" t="e">
        <f>'BD01'!M178</f>
        <v>#VALUE!</v>
      </c>
    </row>
    <row r="179" spans="1:3" x14ac:dyDescent="0.35">
      <c r="A179" s="3">
        <v>178</v>
      </c>
      <c r="B179" s="3" t="e">
        <f>'BD01'!L179</f>
        <v>#VALUE!</v>
      </c>
      <c r="C179" s="15" t="e">
        <f>'BD01'!M179</f>
        <v>#VALUE!</v>
      </c>
    </row>
    <row r="180" spans="1:3" x14ac:dyDescent="0.35">
      <c r="A180" s="3">
        <v>179</v>
      </c>
      <c r="B180" s="3" t="e">
        <f>'BD01'!L180</f>
        <v>#VALUE!</v>
      </c>
      <c r="C180" s="15" t="e">
        <f>'BD01'!M180</f>
        <v>#VALUE!</v>
      </c>
    </row>
    <row r="181" spans="1:3" x14ac:dyDescent="0.35">
      <c r="A181" s="3">
        <v>180</v>
      </c>
      <c r="B181" s="3" t="e">
        <f>'BD01'!L181</f>
        <v>#VALUE!</v>
      </c>
      <c r="C181" s="15" t="e">
        <f>'BD01'!M181</f>
        <v>#VALUE!</v>
      </c>
    </row>
    <row r="182" spans="1:3" x14ac:dyDescent="0.35">
      <c r="A182" s="3">
        <v>181</v>
      </c>
      <c r="B182" s="3" t="e">
        <f>'BD01'!L182</f>
        <v>#VALUE!</v>
      </c>
      <c r="C182" s="15" t="e">
        <f>'BD01'!M182</f>
        <v>#VALUE!</v>
      </c>
    </row>
    <row r="183" spans="1:3" x14ac:dyDescent="0.35">
      <c r="A183" s="3">
        <v>182</v>
      </c>
      <c r="B183" s="3" t="e">
        <f>'BD01'!L183</f>
        <v>#VALUE!</v>
      </c>
      <c r="C183" s="15" t="e">
        <f>'BD01'!M183</f>
        <v>#VALUE!</v>
      </c>
    </row>
    <row r="184" spans="1:3" x14ac:dyDescent="0.35">
      <c r="A184" s="3">
        <v>183</v>
      </c>
      <c r="B184" s="3" t="e">
        <f>'BD01'!L184</f>
        <v>#VALUE!</v>
      </c>
      <c r="C184" s="15" t="e">
        <f>'BD01'!M184</f>
        <v>#VALUE!</v>
      </c>
    </row>
    <row r="185" spans="1:3" x14ac:dyDescent="0.35">
      <c r="A185" s="3">
        <v>184</v>
      </c>
      <c r="B185" s="3" t="e">
        <f>'BD01'!L185</f>
        <v>#VALUE!</v>
      </c>
      <c r="C185" s="15" t="e">
        <f>'BD01'!M185</f>
        <v>#VALUE!</v>
      </c>
    </row>
    <row r="186" spans="1:3" x14ac:dyDescent="0.35">
      <c r="A186" s="3">
        <v>185</v>
      </c>
      <c r="B186" s="3" t="e">
        <f>'BD01'!L186</f>
        <v>#VALUE!</v>
      </c>
      <c r="C186" s="15" t="e">
        <f>'BD01'!M186</f>
        <v>#VALUE!</v>
      </c>
    </row>
    <row r="187" spans="1:3" x14ac:dyDescent="0.35">
      <c r="A187" s="3">
        <v>186</v>
      </c>
      <c r="B187" s="3" t="e">
        <f>'BD01'!L187</f>
        <v>#VALUE!</v>
      </c>
      <c r="C187" s="15" t="e">
        <f>'BD01'!M187</f>
        <v>#VALUE!</v>
      </c>
    </row>
    <row r="188" spans="1:3" x14ac:dyDescent="0.35">
      <c r="A188" s="3">
        <v>187</v>
      </c>
      <c r="B188" s="3" t="e">
        <f>'BD01'!L188</f>
        <v>#VALUE!</v>
      </c>
      <c r="C188" s="15" t="e">
        <f>'BD01'!M188</f>
        <v>#VALUE!</v>
      </c>
    </row>
    <row r="189" spans="1:3" x14ac:dyDescent="0.35">
      <c r="A189" s="3">
        <v>188</v>
      </c>
      <c r="B189" s="3" t="e">
        <f>'BD01'!L189</f>
        <v>#VALUE!</v>
      </c>
      <c r="C189" s="15" t="e">
        <f>'BD01'!M189</f>
        <v>#VALUE!</v>
      </c>
    </row>
    <row r="190" spans="1:3" x14ac:dyDescent="0.35">
      <c r="A190" s="3">
        <v>189</v>
      </c>
      <c r="B190" s="3" t="e">
        <f>'BD01'!L190</f>
        <v>#VALUE!</v>
      </c>
      <c r="C190" s="15" t="e">
        <f>'BD01'!M190</f>
        <v>#VALUE!</v>
      </c>
    </row>
    <row r="191" spans="1:3" x14ac:dyDescent="0.35">
      <c r="A191" s="3">
        <v>190</v>
      </c>
      <c r="B191" s="3" t="e">
        <f>'BD01'!L191</f>
        <v>#VALUE!</v>
      </c>
      <c r="C191" s="15" t="e">
        <f>'BD01'!M191</f>
        <v>#VALUE!</v>
      </c>
    </row>
    <row r="192" spans="1:3" x14ac:dyDescent="0.35">
      <c r="A192" s="3">
        <v>191</v>
      </c>
      <c r="B192" s="3" t="e">
        <f>'BD01'!L192</f>
        <v>#VALUE!</v>
      </c>
      <c r="C192" s="15" t="e">
        <f>'BD01'!M192</f>
        <v>#VALUE!</v>
      </c>
    </row>
    <row r="193" spans="1:3" x14ac:dyDescent="0.35">
      <c r="A193" s="3">
        <v>192</v>
      </c>
      <c r="B193" s="3" t="e">
        <f>'BD01'!L193</f>
        <v>#VALUE!</v>
      </c>
      <c r="C193" s="15" t="e">
        <f>'BD01'!M193</f>
        <v>#VALUE!</v>
      </c>
    </row>
    <row r="194" spans="1:3" x14ac:dyDescent="0.35">
      <c r="A194" s="3">
        <v>193</v>
      </c>
      <c r="B194" s="3" t="e">
        <f>'BD01'!L194</f>
        <v>#VALUE!</v>
      </c>
      <c r="C194" s="15" t="e">
        <f>'BD01'!M194</f>
        <v>#VALUE!</v>
      </c>
    </row>
    <row r="195" spans="1:3" x14ac:dyDescent="0.35">
      <c r="A195" s="3">
        <v>194</v>
      </c>
      <c r="B195" s="3" t="e">
        <f>'BD01'!L195</f>
        <v>#VALUE!</v>
      </c>
      <c r="C195" s="15" t="e">
        <f>'BD01'!M195</f>
        <v>#VALUE!</v>
      </c>
    </row>
    <row r="196" spans="1:3" x14ac:dyDescent="0.35">
      <c r="A196" s="3">
        <v>195</v>
      </c>
      <c r="B196" s="3" t="e">
        <f>'BD01'!L196</f>
        <v>#VALUE!</v>
      </c>
      <c r="C196" s="15" t="e">
        <f>'BD01'!M196</f>
        <v>#VALUE!</v>
      </c>
    </row>
    <row r="197" spans="1:3" x14ac:dyDescent="0.35">
      <c r="A197" s="3">
        <v>196</v>
      </c>
      <c r="B197" s="3" t="e">
        <f>'BD01'!L197</f>
        <v>#VALUE!</v>
      </c>
      <c r="C197" s="15" t="e">
        <f>'BD01'!M197</f>
        <v>#VALUE!</v>
      </c>
    </row>
    <row r="198" spans="1:3" x14ac:dyDescent="0.35">
      <c r="A198" s="3">
        <v>197</v>
      </c>
      <c r="B198" s="3" t="e">
        <f>'BD01'!L198</f>
        <v>#VALUE!</v>
      </c>
      <c r="C198" s="15" t="e">
        <f>'BD01'!M198</f>
        <v>#VALUE!</v>
      </c>
    </row>
    <row r="199" spans="1:3" x14ac:dyDescent="0.35">
      <c r="A199" s="3">
        <v>198</v>
      </c>
      <c r="B199" s="3" t="e">
        <f>'BD01'!L199</f>
        <v>#VALUE!</v>
      </c>
      <c r="C199" s="15" t="e">
        <f>'BD01'!M199</f>
        <v>#VALUE!</v>
      </c>
    </row>
    <row r="200" spans="1:3" x14ac:dyDescent="0.35">
      <c r="A200" s="3">
        <v>199</v>
      </c>
      <c r="B200" s="3" t="e">
        <f>'BD01'!L200</f>
        <v>#VALUE!</v>
      </c>
      <c r="C200" s="15" t="e">
        <f>'BD01'!M200</f>
        <v>#VALUE!</v>
      </c>
    </row>
    <row r="201" spans="1:3" x14ac:dyDescent="0.35">
      <c r="A201" s="3">
        <v>200</v>
      </c>
      <c r="B201" s="3" t="e">
        <f>'BD01'!L201</f>
        <v>#VALUE!</v>
      </c>
      <c r="C201" s="15" t="e">
        <f>'BD01'!M201</f>
        <v>#VALUE!</v>
      </c>
    </row>
    <row r="202" spans="1:3" x14ac:dyDescent="0.35">
      <c r="A202" s="3">
        <v>201</v>
      </c>
      <c r="B202" s="3" t="e">
        <f>'BD01'!L202</f>
        <v>#VALUE!</v>
      </c>
      <c r="C202" s="15" t="e">
        <f>'BD01'!M202</f>
        <v>#VALUE!</v>
      </c>
    </row>
    <row r="203" spans="1:3" x14ac:dyDescent="0.35">
      <c r="A203" s="3">
        <v>202</v>
      </c>
      <c r="B203" s="3" t="e">
        <f>'BD01'!L203</f>
        <v>#VALUE!</v>
      </c>
      <c r="C203" s="15" t="e">
        <f>'BD01'!M203</f>
        <v>#VALUE!</v>
      </c>
    </row>
    <row r="204" spans="1:3" x14ac:dyDescent="0.35">
      <c r="A204" s="3">
        <v>203</v>
      </c>
      <c r="B204" s="3" t="e">
        <f>'BD01'!L204</f>
        <v>#VALUE!</v>
      </c>
      <c r="C204" s="15" t="e">
        <f>'BD01'!M204</f>
        <v>#VALUE!</v>
      </c>
    </row>
    <row r="205" spans="1:3" x14ac:dyDescent="0.35">
      <c r="A205" s="3">
        <v>204</v>
      </c>
      <c r="B205" s="3" t="e">
        <f>'BD01'!L205</f>
        <v>#VALUE!</v>
      </c>
      <c r="C205" s="15" t="e">
        <f>'BD01'!M205</f>
        <v>#VALUE!</v>
      </c>
    </row>
    <row r="206" spans="1:3" x14ac:dyDescent="0.35">
      <c r="A206" s="3">
        <v>205</v>
      </c>
      <c r="B206" s="3" t="e">
        <f>'BD01'!L206</f>
        <v>#VALUE!</v>
      </c>
      <c r="C206" s="15" t="e">
        <f>'BD01'!M206</f>
        <v>#VALUE!</v>
      </c>
    </row>
    <row r="207" spans="1:3" x14ac:dyDescent="0.35">
      <c r="A207" s="3">
        <v>206</v>
      </c>
      <c r="B207" s="3" t="e">
        <f>'BD01'!L207</f>
        <v>#VALUE!</v>
      </c>
      <c r="C207" s="15" t="e">
        <f>'BD01'!M207</f>
        <v>#VALUE!</v>
      </c>
    </row>
    <row r="208" spans="1:3" x14ac:dyDescent="0.35">
      <c r="A208" s="3">
        <v>207</v>
      </c>
      <c r="B208" s="3" t="e">
        <f>'BD01'!L208</f>
        <v>#VALUE!</v>
      </c>
      <c r="C208" s="15" t="e">
        <f>'BD01'!M208</f>
        <v>#VALUE!</v>
      </c>
    </row>
    <row r="209" spans="1:3" x14ac:dyDescent="0.35">
      <c r="A209" s="3">
        <v>208</v>
      </c>
      <c r="B209" s="3" t="e">
        <f>'BD01'!L209</f>
        <v>#VALUE!</v>
      </c>
      <c r="C209" s="15" t="e">
        <f>'BD01'!M209</f>
        <v>#VALUE!</v>
      </c>
    </row>
    <row r="210" spans="1:3" x14ac:dyDescent="0.35">
      <c r="A210" s="3">
        <v>209</v>
      </c>
      <c r="B210" s="3" t="e">
        <f>'BD01'!L210</f>
        <v>#VALUE!</v>
      </c>
      <c r="C210" s="15" t="e">
        <f>'BD01'!M210</f>
        <v>#VALUE!</v>
      </c>
    </row>
    <row r="211" spans="1:3" x14ac:dyDescent="0.35">
      <c r="A211" s="3">
        <v>210</v>
      </c>
      <c r="B211" s="3" t="e">
        <f>'BD01'!L211</f>
        <v>#VALUE!</v>
      </c>
      <c r="C211" s="15" t="e">
        <f>'BD01'!M211</f>
        <v>#VALUE!</v>
      </c>
    </row>
    <row r="212" spans="1:3" x14ac:dyDescent="0.35">
      <c r="A212" s="3">
        <v>211</v>
      </c>
      <c r="B212" s="3" t="e">
        <f>'BD01'!L212</f>
        <v>#VALUE!</v>
      </c>
      <c r="C212" s="15" t="e">
        <f>'BD01'!M212</f>
        <v>#VALUE!</v>
      </c>
    </row>
    <row r="213" spans="1:3" x14ac:dyDescent="0.35">
      <c r="A213" s="3">
        <v>212</v>
      </c>
      <c r="B213" s="3" t="e">
        <f>'BD01'!L213</f>
        <v>#VALUE!</v>
      </c>
      <c r="C213" s="15" t="e">
        <f>'BD01'!M213</f>
        <v>#VALUE!</v>
      </c>
    </row>
    <row r="214" spans="1:3" x14ac:dyDescent="0.35">
      <c r="A214" s="3">
        <v>213</v>
      </c>
      <c r="B214" s="3" t="e">
        <f>'BD01'!L214</f>
        <v>#VALUE!</v>
      </c>
      <c r="C214" s="15" t="e">
        <f>'BD01'!M214</f>
        <v>#VALUE!</v>
      </c>
    </row>
    <row r="215" spans="1:3" x14ac:dyDescent="0.35">
      <c r="A215" s="3">
        <v>214</v>
      </c>
      <c r="B215" s="3" t="e">
        <f>'BD01'!L215</f>
        <v>#VALUE!</v>
      </c>
      <c r="C215" s="15" t="e">
        <f>'BD01'!M215</f>
        <v>#VALUE!</v>
      </c>
    </row>
    <row r="216" spans="1:3" x14ac:dyDescent="0.35">
      <c r="A216" s="3">
        <v>215</v>
      </c>
      <c r="B216" s="3" t="e">
        <f>'BD01'!L216</f>
        <v>#VALUE!</v>
      </c>
      <c r="C216" s="15" t="e">
        <f>'BD01'!M216</f>
        <v>#VALUE!</v>
      </c>
    </row>
    <row r="217" spans="1:3" x14ac:dyDescent="0.35">
      <c r="A217" s="3">
        <v>216</v>
      </c>
      <c r="B217" s="3" t="e">
        <f>'BD01'!L217</f>
        <v>#VALUE!</v>
      </c>
      <c r="C217" s="15" t="e">
        <f>'BD01'!M217</f>
        <v>#VALUE!</v>
      </c>
    </row>
    <row r="218" spans="1:3" x14ac:dyDescent="0.35">
      <c r="A218" s="3">
        <v>217</v>
      </c>
      <c r="B218" s="3" t="e">
        <f>'BD01'!L218</f>
        <v>#VALUE!</v>
      </c>
      <c r="C218" s="15" t="e">
        <f>'BD01'!M218</f>
        <v>#VALUE!</v>
      </c>
    </row>
    <row r="219" spans="1:3" x14ac:dyDescent="0.35">
      <c r="A219" s="3">
        <v>218</v>
      </c>
      <c r="B219" s="3" t="e">
        <f>'BD01'!L219</f>
        <v>#VALUE!</v>
      </c>
      <c r="C219" s="15" t="e">
        <f>'BD01'!M219</f>
        <v>#VALUE!</v>
      </c>
    </row>
    <row r="220" spans="1:3" x14ac:dyDescent="0.35">
      <c r="A220" s="3">
        <v>219</v>
      </c>
      <c r="B220" s="3" t="e">
        <f>'BD01'!L220</f>
        <v>#VALUE!</v>
      </c>
      <c r="C220" s="15" t="e">
        <f>'BD01'!M220</f>
        <v>#VALUE!</v>
      </c>
    </row>
    <row r="221" spans="1:3" x14ac:dyDescent="0.35">
      <c r="A221" s="3">
        <v>220</v>
      </c>
      <c r="B221" s="3" t="e">
        <f>'BD01'!L221</f>
        <v>#VALUE!</v>
      </c>
      <c r="C221" s="15" t="e">
        <f>'BD01'!M221</f>
        <v>#VALUE!</v>
      </c>
    </row>
    <row r="222" spans="1:3" x14ac:dyDescent="0.35">
      <c r="A222" s="3">
        <v>221</v>
      </c>
      <c r="B222" s="3" t="e">
        <f>'BD01'!L222</f>
        <v>#VALUE!</v>
      </c>
      <c r="C222" s="15" t="e">
        <f>'BD01'!M222</f>
        <v>#VALUE!</v>
      </c>
    </row>
    <row r="223" spans="1:3" x14ac:dyDescent="0.35">
      <c r="A223" s="3">
        <v>222</v>
      </c>
      <c r="B223" s="3" t="e">
        <f>'BD01'!L223</f>
        <v>#VALUE!</v>
      </c>
      <c r="C223" s="15" t="e">
        <f>'BD01'!M223</f>
        <v>#VALUE!</v>
      </c>
    </row>
    <row r="224" spans="1:3" x14ac:dyDescent="0.35">
      <c r="A224" s="3">
        <v>223</v>
      </c>
      <c r="B224" s="3" t="e">
        <f>'BD01'!L224</f>
        <v>#VALUE!</v>
      </c>
      <c r="C224" s="15" t="e">
        <f>'BD01'!M224</f>
        <v>#VALUE!</v>
      </c>
    </row>
    <row r="225" spans="1:3" x14ac:dyDescent="0.35">
      <c r="A225" s="3">
        <v>224</v>
      </c>
      <c r="B225" s="3" t="e">
        <f>'BD01'!L225</f>
        <v>#VALUE!</v>
      </c>
      <c r="C225" s="15" t="e">
        <f>'BD01'!M225</f>
        <v>#VALUE!</v>
      </c>
    </row>
    <row r="226" spans="1:3" x14ac:dyDescent="0.35">
      <c r="A226" s="3">
        <v>225</v>
      </c>
      <c r="B226" s="3" t="e">
        <f>'BD01'!L226</f>
        <v>#VALUE!</v>
      </c>
      <c r="C226" s="15" t="e">
        <f>'BD01'!M226</f>
        <v>#VALUE!</v>
      </c>
    </row>
    <row r="227" spans="1:3" x14ac:dyDescent="0.35">
      <c r="A227" s="3">
        <v>226</v>
      </c>
      <c r="B227" s="3" t="e">
        <f>'BD01'!L227</f>
        <v>#VALUE!</v>
      </c>
      <c r="C227" s="15" t="e">
        <f>'BD01'!M227</f>
        <v>#VALUE!</v>
      </c>
    </row>
    <row r="228" spans="1:3" x14ac:dyDescent="0.35">
      <c r="A228" s="3">
        <v>227</v>
      </c>
      <c r="B228" s="3" t="e">
        <f>'BD01'!L228</f>
        <v>#VALUE!</v>
      </c>
      <c r="C228" s="15" t="e">
        <f>'BD01'!M228</f>
        <v>#VALUE!</v>
      </c>
    </row>
    <row r="229" spans="1:3" x14ac:dyDescent="0.35">
      <c r="A229" s="3">
        <v>228</v>
      </c>
      <c r="B229" s="3" t="e">
        <f>'BD01'!L229</f>
        <v>#VALUE!</v>
      </c>
      <c r="C229" s="15" t="e">
        <f>'BD01'!M229</f>
        <v>#VALUE!</v>
      </c>
    </row>
    <row r="230" spans="1:3" x14ac:dyDescent="0.35">
      <c r="A230" s="3">
        <v>229</v>
      </c>
      <c r="B230" s="3" t="e">
        <f>'BD01'!L230</f>
        <v>#VALUE!</v>
      </c>
      <c r="C230" s="15" t="e">
        <f>'BD01'!M230</f>
        <v>#VALUE!</v>
      </c>
    </row>
    <row r="231" spans="1:3" x14ac:dyDescent="0.35">
      <c r="A231" s="3">
        <v>230</v>
      </c>
      <c r="B231" s="3" t="e">
        <f>'BD01'!L231</f>
        <v>#VALUE!</v>
      </c>
      <c r="C231" s="15" t="e">
        <f>'BD01'!M231</f>
        <v>#VALUE!</v>
      </c>
    </row>
    <row r="232" spans="1:3" x14ac:dyDescent="0.35">
      <c r="A232" s="3">
        <v>231</v>
      </c>
      <c r="B232" s="3" t="e">
        <f>'BD01'!L232</f>
        <v>#VALUE!</v>
      </c>
      <c r="C232" s="15" t="e">
        <f>'BD01'!M232</f>
        <v>#VALUE!</v>
      </c>
    </row>
    <row r="233" spans="1:3" x14ac:dyDescent="0.35">
      <c r="A233" s="3">
        <v>232</v>
      </c>
      <c r="B233" s="3" t="e">
        <f>'BD01'!L233</f>
        <v>#VALUE!</v>
      </c>
      <c r="C233" s="15" t="e">
        <f>'BD01'!M233</f>
        <v>#VALUE!</v>
      </c>
    </row>
    <row r="234" spans="1:3" x14ac:dyDescent="0.35">
      <c r="A234" s="3">
        <v>233</v>
      </c>
      <c r="B234" s="3" t="e">
        <f>'BD01'!L234</f>
        <v>#VALUE!</v>
      </c>
      <c r="C234" s="15" t="e">
        <f>'BD01'!M234</f>
        <v>#VALUE!</v>
      </c>
    </row>
    <row r="235" spans="1:3" x14ac:dyDescent="0.35">
      <c r="A235" s="3">
        <v>234</v>
      </c>
      <c r="B235" s="3" t="e">
        <f>'BD01'!L235</f>
        <v>#VALUE!</v>
      </c>
      <c r="C235" s="15" t="e">
        <f>'BD01'!M235</f>
        <v>#VALUE!</v>
      </c>
    </row>
    <row r="236" spans="1:3" x14ac:dyDescent="0.35">
      <c r="A236" s="3">
        <v>235</v>
      </c>
      <c r="B236" s="3" t="e">
        <f>'BD01'!L236</f>
        <v>#VALUE!</v>
      </c>
      <c r="C236" s="15" t="e">
        <f>'BD01'!M236</f>
        <v>#VALUE!</v>
      </c>
    </row>
    <row r="237" spans="1:3" x14ac:dyDescent="0.35">
      <c r="A237" s="3">
        <v>236</v>
      </c>
      <c r="B237" s="3" t="e">
        <f>'BD01'!L237</f>
        <v>#VALUE!</v>
      </c>
      <c r="C237" s="15" t="e">
        <f>'BD01'!M237</f>
        <v>#VALUE!</v>
      </c>
    </row>
    <row r="238" spans="1:3" x14ac:dyDescent="0.35">
      <c r="A238" s="3">
        <v>237</v>
      </c>
      <c r="B238" s="3" t="e">
        <f>'BD01'!L238</f>
        <v>#VALUE!</v>
      </c>
      <c r="C238" s="15" t="e">
        <f>'BD01'!M238</f>
        <v>#VALUE!</v>
      </c>
    </row>
    <row r="239" spans="1:3" x14ac:dyDescent="0.35">
      <c r="A239" s="3">
        <v>238</v>
      </c>
      <c r="B239" s="3" t="e">
        <f>'BD01'!L239</f>
        <v>#VALUE!</v>
      </c>
      <c r="C239" s="15" t="e">
        <f>'BD01'!M239</f>
        <v>#VALUE!</v>
      </c>
    </row>
    <row r="240" spans="1:3" x14ac:dyDescent="0.35">
      <c r="A240" s="3">
        <v>239</v>
      </c>
      <c r="B240" s="3" t="e">
        <f>'BD01'!L240</f>
        <v>#VALUE!</v>
      </c>
      <c r="C240" s="15" t="e">
        <f>'BD01'!M240</f>
        <v>#VALUE!</v>
      </c>
    </row>
    <row r="241" spans="1:3" x14ac:dyDescent="0.35">
      <c r="A241" s="3">
        <v>240</v>
      </c>
      <c r="B241" s="3" t="e">
        <f>'BD01'!L241</f>
        <v>#VALUE!</v>
      </c>
      <c r="C241" s="15" t="e">
        <f>'BD01'!M241</f>
        <v>#VALUE!</v>
      </c>
    </row>
    <row r="242" spans="1:3" x14ac:dyDescent="0.35">
      <c r="A242" s="3">
        <v>241</v>
      </c>
      <c r="B242" s="3" t="e">
        <f>'BD01'!L242</f>
        <v>#VALUE!</v>
      </c>
      <c r="C242" s="15" t="e">
        <f>'BD01'!M242</f>
        <v>#VALUE!</v>
      </c>
    </row>
    <row r="243" spans="1:3" x14ac:dyDescent="0.35">
      <c r="A243" s="3">
        <v>242</v>
      </c>
      <c r="B243" s="3" t="e">
        <f>'BD01'!L243</f>
        <v>#VALUE!</v>
      </c>
      <c r="C243" s="15" t="e">
        <f>'BD01'!M243</f>
        <v>#VALUE!</v>
      </c>
    </row>
    <row r="244" spans="1:3" x14ac:dyDescent="0.35">
      <c r="A244" s="3">
        <v>243</v>
      </c>
      <c r="B244" s="3" t="e">
        <f>'BD01'!L244</f>
        <v>#VALUE!</v>
      </c>
      <c r="C244" s="15" t="e">
        <f>'BD01'!M244</f>
        <v>#VALUE!</v>
      </c>
    </row>
    <row r="245" spans="1:3" x14ac:dyDescent="0.35">
      <c r="A245" s="3">
        <v>244</v>
      </c>
      <c r="B245" s="3" t="e">
        <f>'BD01'!L245</f>
        <v>#VALUE!</v>
      </c>
      <c r="C245" s="15" t="e">
        <f>'BD01'!M245</f>
        <v>#VALUE!</v>
      </c>
    </row>
    <row r="246" spans="1:3" x14ac:dyDescent="0.35">
      <c r="A246" s="3">
        <v>245</v>
      </c>
      <c r="B246" s="3" t="e">
        <f>'BD01'!L246</f>
        <v>#VALUE!</v>
      </c>
      <c r="C246" s="15" t="e">
        <f>'BD01'!M246</f>
        <v>#VALUE!</v>
      </c>
    </row>
    <row r="247" spans="1:3" x14ac:dyDescent="0.35">
      <c r="A247" s="3">
        <v>246</v>
      </c>
      <c r="B247" s="3" t="e">
        <f>'BD01'!L247</f>
        <v>#VALUE!</v>
      </c>
      <c r="C247" s="15" t="e">
        <f>'BD01'!M247</f>
        <v>#VALUE!</v>
      </c>
    </row>
    <row r="248" spans="1:3" x14ac:dyDescent="0.35">
      <c r="A248" s="3">
        <v>247</v>
      </c>
      <c r="B248" s="3" t="e">
        <f>'BD01'!L248</f>
        <v>#VALUE!</v>
      </c>
      <c r="C248" s="15" t="e">
        <f>'BD01'!M248</f>
        <v>#VALUE!</v>
      </c>
    </row>
    <row r="249" spans="1:3" x14ac:dyDescent="0.35">
      <c r="A249" s="3">
        <v>248</v>
      </c>
      <c r="B249" s="3" t="e">
        <f>'BD01'!L249</f>
        <v>#VALUE!</v>
      </c>
      <c r="C249" s="15" t="e">
        <f>'BD01'!M249</f>
        <v>#VALUE!</v>
      </c>
    </row>
    <row r="250" spans="1:3" x14ac:dyDescent="0.35">
      <c r="A250" s="3">
        <v>249</v>
      </c>
      <c r="B250" s="3" t="e">
        <f>'BD01'!L250</f>
        <v>#VALUE!</v>
      </c>
      <c r="C250" s="15" t="e">
        <f>'BD01'!M250</f>
        <v>#VALUE!</v>
      </c>
    </row>
    <row r="251" spans="1:3" x14ac:dyDescent="0.35">
      <c r="A251" s="3">
        <v>250</v>
      </c>
      <c r="B251" s="3" t="e">
        <f>'BD01'!L251</f>
        <v>#VALUE!</v>
      </c>
      <c r="C251" s="15" t="e">
        <f>'BD01'!M251</f>
        <v>#VALUE!</v>
      </c>
    </row>
    <row r="252" spans="1:3" x14ac:dyDescent="0.35">
      <c r="A252" s="3">
        <v>251</v>
      </c>
      <c r="B252" s="3" t="e">
        <f>'BD01'!L252</f>
        <v>#VALUE!</v>
      </c>
      <c r="C252" s="15" t="e">
        <f>'BD01'!M252</f>
        <v>#VALUE!</v>
      </c>
    </row>
    <row r="253" spans="1:3" x14ac:dyDescent="0.35">
      <c r="A253" s="3">
        <v>252</v>
      </c>
      <c r="B253" s="3" t="e">
        <f>'BD01'!L253</f>
        <v>#VALUE!</v>
      </c>
      <c r="C253" s="15" t="e">
        <f>'BD01'!M253</f>
        <v>#VALUE!</v>
      </c>
    </row>
    <row r="254" spans="1:3" x14ac:dyDescent="0.35">
      <c r="A254" s="3">
        <v>253</v>
      </c>
      <c r="B254" s="3" t="e">
        <f>'BD01'!L254</f>
        <v>#VALUE!</v>
      </c>
      <c r="C254" s="15" t="e">
        <f>'BD01'!M254</f>
        <v>#VALUE!</v>
      </c>
    </row>
    <row r="255" spans="1:3" x14ac:dyDescent="0.35">
      <c r="A255" s="3">
        <v>254</v>
      </c>
      <c r="B255" s="3" t="e">
        <f>'BD01'!L255</f>
        <v>#VALUE!</v>
      </c>
      <c r="C255" s="15" t="e">
        <f>'BD01'!M255</f>
        <v>#VALUE!</v>
      </c>
    </row>
    <row r="256" spans="1:3" x14ac:dyDescent="0.35">
      <c r="A256" s="3">
        <v>255</v>
      </c>
      <c r="B256" s="3" t="e">
        <f>'BD01'!L256</f>
        <v>#VALUE!</v>
      </c>
      <c r="C256" s="15" t="e">
        <f>'BD01'!M256</f>
        <v>#VALUE!</v>
      </c>
    </row>
    <row r="257" spans="1:3" x14ac:dyDescent="0.35">
      <c r="A257" s="3">
        <v>256</v>
      </c>
      <c r="B257" s="3" t="e">
        <f>'BD01'!L257</f>
        <v>#VALUE!</v>
      </c>
      <c r="C257" s="15" t="e">
        <f>'BD01'!M257</f>
        <v>#VALUE!</v>
      </c>
    </row>
    <row r="258" spans="1:3" x14ac:dyDescent="0.35">
      <c r="A258" s="3">
        <v>257</v>
      </c>
      <c r="B258" s="3" t="e">
        <f>'BD01'!L258</f>
        <v>#VALUE!</v>
      </c>
      <c r="C258" s="15" t="e">
        <f>'BD01'!M258</f>
        <v>#VALUE!</v>
      </c>
    </row>
    <row r="259" spans="1:3" x14ac:dyDescent="0.35">
      <c r="A259" s="3">
        <v>258</v>
      </c>
      <c r="B259" s="3" t="e">
        <f>'BD01'!L259</f>
        <v>#VALUE!</v>
      </c>
      <c r="C259" s="15" t="e">
        <f>'BD01'!M259</f>
        <v>#VALUE!</v>
      </c>
    </row>
    <row r="260" spans="1:3" x14ac:dyDescent="0.35">
      <c r="A260" s="3">
        <v>259</v>
      </c>
      <c r="B260" s="3" t="e">
        <f>'BD01'!L260</f>
        <v>#VALUE!</v>
      </c>
      <c r="C260" s="15" t="e">
        <f>'BD01'!M260</f>
        <v>#VALUE!</v>
      </c>
    </row>
    <row r="261" spans="1:3" x14ac:dyDescent="0.35">
      <c r="A261" s="3">
        <v>260</v>
      </c>
      <c r="B261" s="3" t="e">
        <f>'BD01'!L261</f>
        <v>#VALUE!</v>
      </c>
      <c r="C261" s="15" t="e">
        <f>'BD01'!M261</f>
        <v>#VALUE!</v>
      </c>
    </row>
    <row r="262" spans="1:3" x14ac:dyDescent="0.35">
      <c r="A262" s="3">
        <v>261</v>
      </c>
      <c r="B262" s="3" t="e">
        <f>'BD01'!L262</f>
        <v>#VALUE!</v>
      </c>
      <c r="C262" s="15" t="e">
        <f>'BD01'!M262</f>
        <v>#VALUE!</v>
      </c>
    </row>
    <row r="263" spans="1:3" x14ac:dyDescent="0.35">
      <c r="A263" s="3">
        <v>262</v>
      </c>
      <c r="B263" s="3" t="e">
        <f>'BD01'!L263</f>
        <v>#VALUE!</v>
      </c>
      <c r="C263" s="15" t="e">
        <f>'BD01'!M263</f>
        <v>#VALUE!</v>
      </c>
    </row>
    <row r="264" spans="1:3" x14ac:dyDescent="0.35">
      <c r="A264" s="3">
        <v>263</v>
      </c>
      <c r="B264" s="3" t="e">
        <f>'BD01'!L264</f>
        <v>#VALUE!</v>
      </c>
      <c r="C264" s="15" t="e">
        <f>'BD01'!M264</f>
        <v>#VALUE!</v>
      </c>
    </row>
    <row r="265" spans="1:3" x14ac:dyDescent="0.35">
      <c r="A265" s="3">
        <v>264</v>
      </c>
      <c r="B265" s="3" t="e">
        <f>'BD01'!L265</f>
        <v>#VALUE!</v>
      </c>
      <c r="C265" s="15" t="e">
        <f>'BD01'!M265</f>
        <v>#VALUE!</v>
      </c>
    </row>
    <row r="266" spans="1:3" x14ac:dyDescent="0.35">
      <c r="A266" s="3">
        <v>265</v>
      </c>
      <c r="B266" s="3" t="e">
        <f>'BD01'!L266</f>
        <v>#VALUE!</v>
      </c>
      <c r="C266" s="15" t="e">
        <f>'BD01'!M266</f>
        <v>#VALUE!</v>
      </c>
    </row>
    <row r="267" spans="1:3" x14ac:dyDescent="0.35">
      <c r="A267" s="3">
        <v>266</v>
      </c>
      <c r="B267" s="3" t="e">
        <f>'BD01'!L267</f>
        <v>#VALUE!</v>
      </c>
      <c r="C267" s="15" t="e">
        <f>'BD01'!M267</f>
        <v>#VALUE!</v>
      </c>
    </row>
    <row r="268" spans="1:3" x14ac:dyDescent="0.35">
      <c r="A268" s="3">
        <v>267</v>
      </c>
      <c r="B268" s="3" t="e">
        <f>'BD01'!L268</f>
        <v>#VALUE!</v>
      </c>
      <c r="C268" s="15" t="e">
        <f>'BD01'!M268</f>
        <v>#VALUE!</v>
      </c>
    </row>
    <row r="269" spans="1:3" x14ac:dyDescent="0.35">
      <c r="A269" s="3">
        <v>268</v>
      </c>
      <c r="B269" s="3" t="e">
        <f>'BD01'!L269</f>
        <v>#VALUE!</v>
      </c>
      <c r="C269" s="15" t="e">
        <f>'BD01'!M269</f>
        <v>#VALUE!</v>
      </c>
    </row>
    <row r="270" spans="1:3" x14ac:dyDescent="0.35">
      <c r="A270" s="3">
        <v>269</v>
      </c>
      <c r="B270" s="3" t="e">
        <f>'BD01'!L270</f>
        <v>#VALUE!</v>
      </c>
      <c r="C270" s="15" t="e">
        <f>'BD01'!M270</f>
        <v>#VALUE!</v>
      </c>
    </row>
    <row r="271" spans="1:3" x14ac:dyDescent="0.35">
      <c r="A271" s="3">
        <v>270</v>
      </c>
      <c r="B271" s="3" t="e">
        <f>'BD01'!L271</f>
        <v>#VALUE!</v>
      </c>
      <c r="C271" s="15" t="e">
        <f>'BD01'!M271</f>
        <v>#VALUE!</v>
      </c>
    </row>
    <row r="272" spans="1:3" x14ac:dyDescent="0.35">
      <c r="A272" s="3">
        <v>271</v>
      </c>
      <c r="B272" s="3" t="e">
        <f>'BD01'!L272</f>
        <v>#VALUE!</v>
      </c>
      <c r="C272" s="15" t="e">
        <f>'BD01'!M272</f>
        <v>#VALUE!</v>
      </c>
    </row>
    <row r="273" spans="1:3" x14ac:dyDescent="0.35">
      <c r="A273" s="3">
        <v>272</v>
      </c>
      <c r="B273" s="3" t="e">
        <f>'BD01'!L273</f>
        <v>#VALUE!</v>
      </c>
      <c r="C273" s="15" t="e">
        <f>'BD01'!M273</f>
        <v>#VALUE!</v>
      </c>
    </row>
    <row r="274" spans="1:3" x14ac:dyDescent="0.35">
      <c r="A274" s="3">
        <v>273</v>
      </c>
      <c r="B274" s="3" t="e">
        <f>'BD01'!L274</f>
        <v>#VALUE!</v>
      </c>
      <c r="C274" s="15" t="e">
        <f>'BD01'!M274</f>
        <v>#VALUE!</v>
      </c>
    </row>
    <row r="275" spans="1:3" x14ac:dyDescent="0.35">
      <c r="A275" s="3">
        <v>274</v>
      </c>
      <c r="B275" s="3" t="e">
        <f>'BD01'!L275</f>
        <v>#VALUE!</v>
      </c>
      <c r="C275" s="15" t="e">
        <f>'BD01'!M275</f>
        <v>#VALUE!</v>
      </c>
    </row>
    <row r="276" spans="1:3" x14ac:dyDescent="0.35">
      <c r="A276" s="3">
        <v>275</v>
      </c>
      <c r="B276" s="3" t="e">
        <f>'BD01'!L276</f>
        <v>#VALUE!</v>
      </c>
      <c r="C276" s="15" t="e">
        <f>'BD01'!M276</f>
        <v>#VALUE!</v>
      </c>
    </row>
    <row r="277" spans="1:3" x14ac:dyDescent="0.35">
      <c r="A277" s="3">
        <v>276</v>
      </c>
      <c r="B277" s="3" t="e">
        <f>'BD01'!L277</f>
        <v>#VALUE!</v>
      </c>
      <c r="C277" s="15" t="e">
        <f>'BD01'!M277</f>
        <v>#VALUE!</v>
      </c>
    </row>
    <row r="278" spans="1:3" x14ac:dyDescent="0.35">
      <c r="A278" s="3">
        <v>277</v>
      </c>
      <c r="B278" s="3" t="e">
        <f>'BD01'!L278</f>
        <v>#VALUE!</v>
      </c>
      <c r="C278" s="15" t="e">
        <f>'BD01'!M278</f>
        <v>#VALUE!</v>
      </c>
    </row>
    <row r="279" spans="1:3" x14ac:dyDescent="0.35">
      <c r="A279" s="3">
        <v>278</v>
      </c>
      <c r="B279" s="3" t="e">
        <f>'BD01'!L279</f>
        <v>#VALUE!</v>
      </c>
      <c r="C279" s="15" t="e">
        <f>'BD01'!M279</f>
        <v>#VALUE!</v>
      </c>
    </row>
    <row r="280" spans="1:3" x14ac:dyDescent="0.35">
      <c r="A280" s="3">
        <v>279</v>
      </c>
      <c r="B280" s="3" t="e">
        <f>'BD01'!L280</f>
        <v>#VALUE!</v>
      </c>
      <c r="C280" s="15" t="e">
        <f>'BD01'!M280</f>
        <v>#VALUE!</v>
      </c>
    </row>
    <row r="281" spans="1:3" x14ac:dyDescent="0.35">
      <c r="A281" s="3">
        <v>280</v>
      </c>
      <c r="B281" s="3" t="e">
        <f>'BD01'!L281</f>
        <v>#VALUE!</v>
      </c>
      <c r="C281" s="15" t="e">
        <f>'BD01'!M281</f>
        <v>#VALUE!</v>
      </c>
    </row>
    <row r="282" spans="1:3" x14ac:dyDescent="0.35">
      <c r="A282" s="3">
        <v>281</v>
      </c>
      <c r="B282" s="3" t="e">
        <f>'BD01'!L282</f>
        <v>#VALUE!</v>
      </c>
      <c r="C282" s="15" t="e">
        <f>'BD01'!M282</f>
        <v>#VALUE!</v>
      </c>
    </row>
    <row r="283" spans="1:3" x14ac:dyDescent="0.35">
      <c r="A283" s="3">
        <v>282</v>
      </c>
      <c r="B283" s="3" t="e">
        <f>'BD01'!L283</f>
        <v>#VALUE!</v>
      </c>
      <c r="C283" s="15" t="e">
        <f>'BD01'!M283</f>
        <v>#VALUE!</v>
      </c>
    </row>
    <row r="284" spans="1:3" x14ac:dyDescent="0.35">
      <c r="A284" s="3">
        <v>283</v>
      </c>
      <c r="B284" s="3" t="e">
        <f>'BD01'!L284</f>
        <v>#VALUE!</v>
      </c>
      <c r="C284" s="15" t="e">
        <f>'BD01'!M284</f>
        <v>#VALUE!</v>
      </c>
    </row>
    <row r="285" spans="1:3" x14ac:dyDescent="0.35">
      <c r="A285" s="3">
        <v>284</v>
      </c>
      <c r="B285" s="3" t="e">
        <f>'BD01'!L285</f>
        <v>#VALUE!</v>
      </c>
      <c r="C285" s="15" t="e">
        <f>'BD01'!M285</f>
        <v>#VALUE!</v>
      </c>
    </row>
    <row r="286" spans="1:3" x14ac:dyDescent="0.35">
      <c r="A286" s="3">
        <v>285</v>
      </c>
      <c r="B286" s="3" t="e">
        <f>'BD01'!L286</f>
        <v>#VALUE!</v>
      </c>
      <c r="C286" s="15" t="e">
        <f>'BD01'!M286</f>
        <v>#VALUE!</v>
      </c>
    </row>
    <row r="287" spans="1:3" x14ac:dyDescent="0.35">
      <c r="A287" s="3">
        <v>286</v>
      </c>
      <c r="B287" s="3" t="e">
        <f>'BD01'!L287</f>
        <v>#VALUE!</v>
      </c>
      <c r="C287" s="15" t="e">
        <f>'BD01'!M287</f>
        <v>#VALUE!</v>
      </c>
    </row>
    <row r="288" spans="1:3" x14ac:dyDescent="0.35">
      <c r="A288" s="3">
        <v>287</v>
      </c>
      <c r="B288" s="3" t="e">
        <f>'BD01'!L288</f>
        <v>#VALUE!</v>
      </c>
      <c r="C288" s="15" t="e">
        <f>'BD01'!M288</f>
        <v>#VALUE!</v>
      </c>
    </row>
    <row r="289" spans="1:3" x14ac:dyDescent="0.35">
      <c r="A289" s="3">
        <v>288</v>
      </c>
      <c r="B289" s="3" t="e">
        <f>'BD01'!L289</f>
        <v>#VALUE!</v>
      </c>
      <c r="C289" s="15" t="e">
        <f>'BD01'!M289</f>
        <v>#VALUE!</v>
      </c>
    </row>
    <row r="290" spans="1:3" x14ac:dyDescent="0.35">
      <c r="A290" s="3">
        <v>289</v>
      </c>
      <c r="B290" s="3" t="e">
        <f>'BD01'!L290</f>
        <v>#VALUE!</v>
      </c>
      <c r="C290" s="15" t="e">
        <f>'BD01'!M290</f>
        <v>#VALUE!</v>
      </c>
    </row>
    <row r="291" spans="1:3" x14ac:dyDescent="0.35">
      <c r="A291" s="3">
        <v>290</v>
      </c>
      <c r="B291" s="3" t="e">
        <f>'BD01'!L291</f>
        <v>#VALUE!</v>
      </c>
      <c r="C291" s="15" t="e">
        <f>'BD01'!M291</f>
        <v>#VALUE!</v>
      </c>
    </row>
    <row r="292" spans="1:3" x14ac:dyDescent="0.35">
      <c r="A292" s="3">
        <v>291</v>
      </c>
      <c r="B292" s="3" t="e">
        <f>'BD01'!L292</f>
        <v>#VALUE!</v>
      </c>
      <c r="C292" s="15" t="e">
        <f>'BD01'!M292</f>
        <v>#VALUE!</v>
      </c>
    </row>
    <row r="293" spans="1:3" x14ac:dyDescent="0.35">
      <c r="A293" s="3">
        <v>292</v>
      </c>
      <c r="B293" s="3" t="e">
        <f>'BD01'!L293</f>
        <v>#VALUE!</v>
      </c>
      <c r="C293" s="15" t="e">
        <f>'BD01'!M293</f>
        <v>#VALUE!</v>
      </c>
    </row>
    <row r="294" spans="1:3" x14ac:dyDescent="0.35">
      <c r="A294" s="3">
        <v>293</v>
      </c>
      <c r="B294" s="3" t="e">
        <f>'BD01'!L294</f>
        <v>#VALUE!</v>
      </c>
      <c r="C294" s="15" t="e">
        <f>'BD01'!M294</f>
        <v>#VALUE!</v>
      </c>
    </row>
    <row r="295" spans="1:3" x14ac:dyDescent="0.35">
      <c r="A295" s="3">
        <v>294</v>
      </c>
      <c r="B295" s="3" t="e">
        <f>'BD01'!L295</f>
        <v>#VALUE!</v>
      </c>
      <c r="C295" s="15" t="e">
        <f>'BD01'!M295</f>
        <v>#VALUE!</v>
      </c>
    </row>
    <row r="296" spans="1:3" x14ac:dyDescent="0.35">
      <c r="A296" s="3">
        <v>295</v>
      </c>
      <c r="B296" s="3" t="e">
        <f>'BD01'!L296</f>
        <v>#VALUE!</v>
      </c>
      <c r="C296" s="15" t="e">
        <f>'BD01'!M296</f>
        <v>#VALUE!</v>
      </c>
    </row>
    <row r="297" spans="1:3" x14ac:dyDescent="0.35">
      <c r="A297" s="3">
        <v>296</v>
      </c>
      <c r="B297" s="3" t="e">
        <f>'BD01'!L297</f>
        <v>#VALUE!</v>
      </c>
      <c r="C297" s="15" t="e">
        <f>'BD01'!M297</f>
        <v>#VALUE!</v>
      </c>
    </row>
    <row r="298" spans="1:3" x14ac:dyDescent="0.35">
      <c r="A298" s="3">
        <v>297</v>
      </c>
      <c r="B298" s="3" t="e">
        <f>'BD01'!L298</f>
        <v>#VALUE!</v>
      </c>
      <c r="C298" s="15" t="e">
        <f>'BD01'!M298</f>
        <v>#VALUE!</v>
      </c>
    </row>
    <row r="299" spans="1:3" x14ac:dyDescent="0.35">
      <c r="A299" s="3">
        <v>298</v>
      </c>
      <c r="B299" s="3" t="e">
        <f>'BD01'!L299</f>
        <v>#VALUE!</v>
      </c>
      <c r="C299" s="15" t="e">
        <f>'BD01'!M299</f>
        <v>#VALUE!</v>
      </c>
    </row>
    <row r="300" spans="1:3" x14ac:dyDescent="0.35">
      <c r="A300" s="3">
        <v>299</v>
      </c>
      <c r="B300" s="3" t="e">
        <f>'BD01'!L300</f>
        <v>#VALUE!</v>
      </c>
      <c r="C300" s="15" t="e">
        <f>'BD01'!M300</f>
        <v>#VALUE!</v>
      </c>
    </row>
    <row r="301" spans="1:3" x14ac:dyDescent="0.35">
      <c r="A301" s="3">
        <v>300</v>
      </c>
      <c r="B301" s="3" t="e">
        <f>'BD01'!L301</f>
        <v>#VALUE!</v>
      </c>
      <c r="C301" s="15" t="e">
        <f>'BD01'!M301</f>
        <v>#VALUE!</v>
      </c>
    </row>
    <row r="302" spans="1:3" x14ac:dyDescent="0.35">
      <c r="A302" s="3">
        <v>301</v>
      </c>
      <c r="B302" s="3" t="e">
        <f>'BD01'!L302</f>
        <v>#VALUE!</v>
      </c>
      <c r="C302" s="15" t="e">
        <f>'BD01'!M302</f>
        <v>#VALUE!</v>
      </c>
    </row>
    <row r="303" spans="1:3" x14ac:dyDescent="0.35">
      <c r="A303" s="3">
        <v>302</v>
      </c>
      <c r="B303" s="3" t="e">
        <f>'BD01'!L303</f>
        <v>#VALUE!</v>
      </c>
      <c r="C303" s="15" t="e">
        <f>'BD01'!M303</f>
        <v>#VALUE!</v>
      </c>
    </row>
    <row r="304" spans="1:3" x14ac:dyDescent="0.35">
      <c r="A304" s="3">
        <v>303</v>
      </c>
      <c r="B304" s="3" t="e">
        <f>'BD01'!L304</f>
        <v>#VALUE!</v>
      </c>
      <c r="C304" s="15" t="e">
        <f>'BD01'!M304</f>
        <v>#VALUE!</v>
      </c>
    </row>
    <row r="305" spans="1:3" x14ac:dyDescent="0.35">
      <c r="A305" s="3">
        <v>304</v>
      </c>
      <c r="B305" s="3" t="e">
        <f>'BD01'!L305</f>
        <v>#VALUE!</v>
      </c>
      <c r="C305" s="15" t="e">
        <f>'BD01'!M305</f>
        <v>#VALUE!</v>
      </c>
    </row>
    <row r="306" spans="1:3" x14ac:dyDescent="0.35">
      <c r="A306" s="3">
        <v>305</v>
      </c>
      <c r="B306" s="3" t="e">
        <f>'BD01'!L306</f>
        <v>#VALUE!</v>
      </c>
      <c r="C306" s="15" t="e">
        <f>'BD01'!M306</f>
        <v>#VALUE!</v>
      </c>
    </row>
    <row r="307" spans="1:3" x14ac:dyDescent="0.35">
      <c r="A307" s="3">
        <v>306</v>
      </c>
      <c r="B307" s="3" t="e">
        <f>'BD01'!L307</f>
        <v>#VALUE!</v>
      </c>
      <c r="C307" s="15" t="e">
        <f>'BD01'!M307</f>
        <v>#VALUE!</v>
      </c>
    </row>
    <row r="308" spans="1:3" x14ac:dyDescent="0.35">
      <c r="A308" s="3">
        <v>307</v>
      </c>
      <c r="B308" s="3" t="e">
        <f>'BD01'!L308</f>
        <v>#VALUE!</v>
      </c>
      <c r="C308" s="15" t="e">
        <f>'BD01'!M308</f>
        <v>#VALUE!</v>
      </c>
    </row>
    <row r="309" spans="1:3" x14ac:dyDescent="0.35">
      <c r="A309" s="3">
        <v>308</v>
      </c>
      <c r="B309" s="3" t="e">
        <f>'BD01'!L309</f>
        <v>#VALUE!</v>
      </c>
      <c r="C309" s="15" t="e">
        <f>'BD01'!M309</f>
        <v>#VALUE!</v>
      </c>
    </row>
    <row r="310" spans="1:3" x14ac:dyDescent="0.35">
      <c r="A310" s="3">
        <v>309</v>
      </c>
      <c r="B310" s="3" t="e">
        <f>'BD01'!L310</f>
        <v>#VALUE!</v>
      </c>
      <c r="C310" s="15" t="e">
        <f>'BD01'!M310</f>
        <v>#VALUE!</v>
      </c>
    </row>
    <row r="311" spans="1:3" x14ac:dyDescent="0.35">
      <c r="A311" s="3">
        <v>310</v>
      </c>
      <c r="B311" s="3" t="e">
        <f>'BD01'!L311</f>
        <v>#VALUE!</v>
      </c>
      <c r="C311" s="15" t="e">
        <f>'BD01'!M311</f>
        <v>#VALUE!</v>
      </c>
    </row>
    <row r="312" spans="1:3" x14ac:dyDescent="0.35">
      <c r="A312" s="3">
        <v>311</v>
      </c>
      <c r="B312" s="3" t="e">
        <f>'BD01'!L312</f>
        <v>#VALUE!</v>
      </c>
      <c r="C312" s="15" t="e">
        <f>'BD01'!M312</f>
        <v>#VALUE!</v>
      </c>
    </row>
    <row r="313" spans="1:3" x14ac:dyDescent="0.35">
      <c r="A313" s="3">
        <v>312</v>
      </c>
      <c r="B313" s="3" t="e">
        <f>'BD01'!L313</f>
        <v>#VALUE!</v>
      </c>
      <c r="C313" s="15" t="e">
        <f>'BD01'!M313</f>
        <v>#VALUE!</v>
      </c>
    </row>
    <row r="314" spans="1:3" x14ac:dyDescent="0.35">
      <c r="A314" s="3">
        <v>313</v>
      </c>
      <c r="B314" s="3" t="e">
        <f>'BD01'!L314</f>
        <v>#VALUE!</v>
      </c>
      <c r="C314" s="15" t="e">
        <f>'BD01'!M314</f>
        <v>#VALUE!</v>
      </c>
    </row>
    <row r="315" spans="1:3" x14ac:dyDescent="0.35">
      <c r="A315" s="3">
        <v>314</v>
      </c>
      <c r="B315" s="3" t="e">
        <f>'BD01'!L315</f>
        <v>#VALUE!</v>
      </c>
      <c r="C315" s="15" t="e">
        <f>'BD01'!M315</f>
        <v>#VALUE!</v>
      </c>
    </row>
    <row r="316" spans="1:3" x14ac:dyDescent="0.35">
      <c r="A316" s="3">
        <v>315</v>
      </c>
      <c r="B316" s="3" t="e">
        <f>'BD01'!L316</f>
        <v>#VALUE!</v>
      </c>
      <c r="C316" s="15" t="e">
        <f>'BD01'!M316</f>
        <v>#VALUE!</v>
      </c>
    </row>
    <row r="317" spans="1:3" x14ac:dyDescent="0.35">
      <c r="A317" s="3">
        <v>316</v>
      </c>
      <c r="B317" s="3" t="e">
        <f>'BD01'!L317</f>
        <v>#VALUE!</v>
      </c>
      <c r="C317" s="15" t="e">
        <f>'BD01'!M317</f>
        <v>#VALUE!</v>
      </c>
    </row>
    <row r="318" spans="1:3" x14ac:dyDescent="0.35">
      <c r="A318" s="3">
        <v>317</v>
      </c>
      <c r="B318" s="3" t="e">
        <f>'BD01'!L318</f>
        <v>#VALUE!</v>
      </c>
      <c r="C318" s="15" t="e">
        <f>'BD01'!M318</f>
        <v>#VALUE!</v>
      </c>
    </row>
    <row r="319" spans="1:3" x14ac:dyDescent="0.35">
      <c r="A319" s="3">
        <v>318</v>
      </c>
      <c r="B319" s="3" t="e">
        <f>'BD01'!L319</f>
        <v>#VALUE!</v>
      </c>
      <c r="C319" s="15" t="e">
        <f>'BD01'!M319</f>
        <v>#VALUE!</v>
      </c>
    </row>
    <row r="320" spans="1:3" x14ac:dyDescent="0.35">
      <c r="A320" s="3">
        <v>319</v>
      </c>
      <c r="B320" s="3" t="e">
        <f>'BD01'!L320</f>
        <v>#VALUE!</v>
      </c>
      <c r="C320" s="15" t="e">
        <f>'BD01'!M320</f>
        <v>#VALUE!</v>
      </c>
    </row>
    <row r="321" spans="1:3" x14ac:dyDescent="0.35">
      <c r="A321" s="3">
        <v>320</v>
      </c>
      <c r="B321" s="3" t="e">
        <f>'BD01'!L321</f>
        <v>#VALUE!</v>
      </c>
      <c r="C321" s="15" t="e">
        <f>'BD01'!M321</f>
        <v>#VALUE!</v>
      </c>
    </row>
    <row r="322" spans="1:3" x14ac:dyDescent="0.35">
      <c r="A322" s="3">
        <v>321</v>
      </c>
      <c r="B322" s="3" t="e">
        <f>'BD01'!L322</f>
        <v>#VALUE!</v>
      </c>
      <c r="C322" s="15" t="e">
        <f>'BD01'!M322</f>
        <v>#VALUE!</v>
      </c>
    </row>
    <row r="323" spans="1:3" x14ac:dyDescent="0.35">
      <c r="A323" s="3">
        <v>322</v>
      </c>
      <c r="B323" s="3" t="e">
        <f>'BD01'!L323</f>
        <v>#VALUE!</v>
      </c>
      <c r="C323" s="15" t="e">
        <f>'BD01'!M323</f>
        <v>#VALUE!</v>
      </c>
    </row>
    <row r="324" spans="1:3" x14ac:dyDescent="0.35">
      <c r="A324" s="3">
        <v>323</v>
      </c>
      <c r="B324" s="3" t="e">
        <f>'BD01'!L324</f>
        <v>#VALUE!</v>
      </c>
      <c r="C324" s="15" t="e">
        <f>'BD01'!M324</f>
        <v>#VALUE!</v>
      </c>
    </row>
    <row r="325" spans="1:3" x14ac:dyDescent="0.35">
      <c r="A325" s="3">
        <v>324</v>
      </c>
      <c r="B325" s="3" t="e">
        <f>'BD01'!L325</f>
        <v>#VALUE!</v>
      </c>
      <c r="C325" s="15" t="e">
        <f>'BD01'!M325</f>
        <v>#VALUE!</v>
      </c>
    </row>
    <row r="326" spans="1:3" x14ac:dyDescent="0.35">
      <c r="A326" s="3">
        <v>325</v>
      </c>
      <c r="B326" s="3" t="e">
        <f>'BD01'!L326</f>
        <v>#VALUE!</v>
      </c>
      <c r="C326" s="15" t="e">
        <f>'BD01'!M326</f>
        <v>#VALUE!</v>
      </c>
    </row>
    <row r="327" spans="1:3" x14ac:dyDescent="0.35">
      <c r="A327" s="3">
        <v>326</v>
      </c>
      <c r="B327" s="3" t="e">
        <f>'BD01'!L327</f>
        <v>#VALUE!</v>
      </c>
      <c r="C327" s="15" t="e">
        <f>'BD01'!M327</f>
        <v>#VALUE!</v>
      </c>
    </row>
    <row r="328" spans="1:3" x14ac:dyDescent="0.35">
      <c r="A328" s="3">
        <v>327</v>
      </c>
      <c r="B328" s="3" t="e">
        <f>'BD01'!L328</f>
        <v>#VALUE!</v>
      </c>
      <c r="C328" s="15" t="e">
        <f>'BD01'!M328</f>
        <v>#VALUE!</v>
      </c>
    </row>
    <row r="329" spans="1:3" x14ac:dyDescent="0.35">
      <c r="A329" s="3">
        <v>328</v>
      </c>
      <c r="B329" s="3" t="e">
        <f>'BD01'!L329</f>
        <v>#VALUE!</v>
      </c>
      <c r="C329" s="15" t="e">
        <f>'BD01'!M329</f>
        <v>#VALUE!</v>
      </c>
    </row>
    <row r="330" spans="1:3" x14ac:dyDescent="0.35">
      <c r="A330" s="3">
        <v>329</v>
      </c>
      <c r="B330" s="3" t="e">
        <f>'BD01'!L330</f>
        <v>#VALUE!</v>
      </c>
      <c r="C330" s="15" t="e">
        <f>'BD01'!M330</f>
        <v>#VALUE!</v>
      </c>
    </row>
    <row r="331" spans="1:3" x14ac:dyDescent="0.35">
      <c r="A331" s="3">
        <v>330</v>
      </c>
      <c r="B331" s="3" t="e">
        <f>'BD01'!L331</f>
        <v>#VALUE!</v>
      </c>
      <c r="C331" s="15" t="e">
        <f>'BD01'!M331</f>
        <v>#VALUE!</v>
      </c>
    </row>
    <row r="332" spans="1:3" x14ac:dyDescent="0.35">
      <c r="A332" s="3">
        <v>331</v>
      </c>
      <c r="B332" s="3" t="e">
        <f>'BD01'!L332</f>
        <v>#VALUE!</v>
      </c>
      <c r="C332" s="15" t="e">
        <f>'BD01'!M332</f>
        <v>#VALUE!</v>
      </c>
    </row>
    <row r="333" spans="1:3" x14ac:dyDescent="0.35">
      <c r="A333" s="3">
        <v>332</v>
      </c>
      <c r="B333" s="3" t="e">
        <f>'BD01'!L333</f>
        <v>#VALUE!</v>
      </c>
      <c r="C333" s="15" t="e">
        <f>'BD01'!M333</f>
        <v>#VALUE!</v>
      </c>
    </row>
    <row r="334" spans="1:3" x14ac:dyDescent="0.35">
      <c r="A334" s="3">
        <v>333</v>
      </c>
      <c r="B334" s="3" t="e">
        <f>'BD01'!L334</f>
        <v>#VALUE!</v>
      </c>
      <c r="C334" s="15" t="e">
        <f>'BD01'!M334</f>
        <v>#VALUE!</v>
      </c>
    </row>
    <row r="335" spans="1:3" x14ac:dyDescent="0.35">
      <c r="A335" s="3">
        <v>334</v>
      </c>
      <c r="B335" s="3" t="e">
        <f>'BD01'!L335</f>
        <v>#VALUE!</v>
      </c>
      <c r="C335" s="15" t="e">
        <f>'BD01'!M335</f>
        <v>#VALUE!</v>
      </c>
    </row>
    <row r="336" spans="1:3" x14ac:dyDescent="0.35">
      <c r="A336" s="3">
        <v>335</v>
      </c>
      <c r="B336" s="3" t="e">
        <f>'BD01'!L336</f>
        <v>#VALUE!</v>
      </c>
      <c r="C336" s="15" t="e">
        <f>'BD01'!M336</f>
        <v>#VALUE!</v>
      </c>
    </row>
    <row r="337" spans="1:3" x14ac:dyDescent="0.35">
      <c r="A337" s="3">
        <v>336</v>
      </c>
      <c r="B337" s="3" t="e">
        <f>'BD01'!L337</f>
        <v>#VALUE!</v>
      </c>
      <c r="C337" s="15" t="e">
        <f>'BD01'!M337</f>
        <v>#VALUE!</v>
      </c>
    </row>
    <row r="338" spans="1:3" x14ac:dyDescent="0.35">
      <c r="A338" s="3">
        <v>337</v>
      </c>
      <c r="B338" s="3" t="e">
        <f>'BD01'!L338</f>
        <v>#VALUE!</v>
      </c>
      <c r="C338" s="15" t="e">
        <f>'BD01'!M338</f>
        <v>#VALUE!</v>
      </c>
    </row>
    <row r="339" spans="1:3" x14ac:dyDescent="0.35">
      <c r="A339" s="3">
        <v>338</v>
      </c>
      <c r="B339" s="3" t="e">
        <f>'BD01'!L339</f>
        <v>#VALUE!</v>
      </c>
      <c r="C339" s="15" t="e">
        <f>'BD01'!M339</f>
        <v>#VALUE!</v>
      </c>
    </row>
    <row r="340" spans="1:3" x14ac:dyDescent="0.35">
      <c r="A340" s="3">
        <v>339</v>
      </c>
      <c r="B340" s="3" t="e">
        <f>'BD01'!L340</f>
        <v>#VALUE!</v>
      </c>
      <c r="C340" s="15" t="e">
        <f>'BD01'!M340</f>
        <v>#VALUE!</v>
      </c>
    </row>
    <row r="341" spans="1:3" x14ac:dyDescent="0.35">
      <c r="A341" s="3">
        <v>340</v>
      </c>
      <c r="B341" s="3" t="e">
        <f>'BD01'!L341</f>
        <v>#VALUE!</v>
      </c>
      <c r="C341" s="15" t="e">
        <f>'BD01'!M341</f>
        <v>#VALUE!</v>
      </c>
    </row>
    <row r="342" spans="1:3" x14ac:dyDescent="0.35">
      <c r="A342" s="3">
        <v>341</v>
      </c>
      <c r="B342" s="3" t="e">
        <f>'BD01'!L342</f>
        <v>#VALUE!</v>
      </c>
      <c r="C342" s="15" t="e">
        <f>'BD01'!M342</f>
        <v>#VALUE!</v>
      </c>
    </row>
    <row r="343" spans="1:3" x14ac:dyDescent="0.35">
      <c r="A343" s="3">
        <v>342</v>
      </c>
      <c r="B343" s="3" t="e">
        <f>'BD01'!L343</f>
        <v>#VALUE!</v>
      </c>
      <c r="C343" s="15" t="e">
        <f>'BD01'!M343</f>
        <v>#VALUE!</v>
      </c>
    </row>
    <row r="344" spans="1:3" x14ac:dyDescent="0.35">
      <c r="A344" s="3">
        <v>343</v>
      </c>
      <c r="B344" s="3" t="e">
        <f>'BD01'!L344</f>
        <v>#VALUE!</v>
      </c>
      <c r="C344" s="15" t="e">
        <f>'BD01'!M344</f>
        <v>#VALUE!</v>
      </c>
    </row>
    <row r="345" spans="1:3" x14ac:dyDescent="0.35">
      <c r="A345" s="3">
        <v>344</v>
      </c>
      <c r="B345" s="3" t="e">
        <f>'BD01'!L345</f>
        <v>#VALUE!</v>
      </c>
      <c r="C345" s="15" t="e">
        <f>'BD01'!M345</f>
        <v>#VALUE!</v>
      </c>
    </row>
    <row r="346" spans="1:3" x14ac:dyDescent="0.35">
      <c r="A346" s="3">
        <v>345</v>
      </c>
      <c r="B346" s="3" t="e">
        <f>'BD01'!L346</f>
        <v>#VALUE!</v>
      </c>
      <c r="C346" s="15" t="e">
        <f>'BD01'!M346</f>
        <v>#VALUE!</v>
      </c>
    </row>
    <row r="347" spans="1:3" x14ac:dyDescent="0.35">
      <c r="A347" s="3">
        <v>346</v>
      </c>
      <c r="B347" s="3" t="e">
        <f>'BD01'!L347</f>
        <v>#VALUE!</v>
      </c>
      <c r="C347" s="15" t="e">
        <f>'BD01'!M347</f>
        <v>#VALUE!</v>
      </c>
    </row>
    <row r="348" spans="1:3" x14ac:dyDescent="0.35">
      <c r="A348" s="3">
        <v>347</v>
      </c>
      <c r="B348" s="3" t="e">
        <f>'BD01'!L348</f>
        <v>#VALUE!</v>
      </c>
      <c r="C348" s="15" t="e">
        <f>'BD01'!M348</f>
        <v>#VALUE!</v>
      </c>
    </row>
    <row r="349" spans="1:3" x14ac:dyDescent="0.35">
      <c r="A349" s="3">
        <v>348</v>
      </c>
      <c r="B349" s="3" t="e">
        <f>'BD01'!L349</f>
        <v>#VALUE!</v>
      </c>
      <c r="C349" s="15" t="e">
        <f>'BD01'!M349</f>
        <v>#VALUE!</v>
      </c>
    </row>
    <row r="350" spans="1:3" x14ac:dyDescent="0.35">
      <c r="A350" s="3">
        <v>349</v>
      </c>
      <c r="B350" s="3" t="e">
        <f>'BD01'!L350</f>
        <v>#VALUE!</v>
      </c>
      <c r="C350" s="15" t="e">
        <f>'BD01'!M350</f>
        <v>#VALUE!</v>
      </c>
    </row>
    <row r="351" spans="1:3" x14ac:dyDescent="0.35">
      <c r="A351" s="3">
        <v>350</v>
      </c>
      <c r="B351" s="3" t="e">
        <f>'BD01'!L351</f>
        <v>#VALUE!</v>
      </c>
      <c r="C351" s="15" t="e">
        <f>'BD01'!M351</f>
        <v>#VALUE!</v>
      </c>
    </row>
    <row r="352" spans="1:3" x14ac:dyDescent="0.35">
      <c r="A352" s="3">
        <v>351</v>
      </c>
      <c r="B352" s="3" t="e">
        <f>'BD01'!L352</f>
        <v>#VALUE!</v>
      </c>
      <c r="C352" s="15" t="e">
        <f>'BD01'!M352</f>
        <v>#VALUE!</v>
      </c>
    </row>
    <row r="353" spans="1:3" x14ac:dyDescent="0.35">
      <c r="A353" s="3">
        <v>352</v>
      </c>
      <c r="B353" s="3" t="e">
        <f>'BD01'!L353</f>
        <v>#VALUE!</v>
      </c>
      <c r="C353" s="15" t="e">
        <f>'BD01'!M353</f>
        <v>#VALUE!</v>
      </c>
    </row>
    <row r="354" spans="1:3" x14ac:dyDescent="0.35">
      <c r="A354" s="3">
        <v>353</v>
      </c>
      <c r="B354" s="3" t="e">
        <f>'BD01'!L354</f>
        <v>#VALUE!</v>
      </c>
      <c r="C354" s="15" t="e">
        <f>'BD01'!M354</f>
        <v>#VALUE!</v>
      </c>
    </row>
    <row r="355" spans="1:3" x14ac:dyDescent="0.35">
      <c r="A355" s="3">
        <v>354</v>
      </c>
      <c r="B355" s="3" t="e">
        <f>'BD01'!L355</f>
        <v>#VALUE!</v>
      </c>
      <c r="C355" s="15" t="e">
        <f>'BD01'!M355</f>
        <v>#VALUE!</v>
      </c>
    </row>
    <row r="356" spans="1:3" x14ac:dyDescent="0.35">
      <c r="A356" s="3">
        <v>355</v>
      </c>
      <c r="B356" s="3" t="e">
        <f>'BD01'!L356</f>
        <v>#VALUE!</v>
      </c>
      <c r="C356" s="15" t="e">
        <f>'BD01'!M356</f>
        <v>#VALUE!</v>
      </c>
    </row>
    <row r="357" spans="1:3" x14ac:dyDescent="0.35">
      <c r="A357" s="3">
        <v>356</v>
      </c>
      <c r="B357" s="3" t="e">
        <f>'BD01'!L357</f>
        <v>#VALUE!</v>
      </c>
      <c r="C357" s="15" t="e">
        <f>'BD01'!M357</f>
        <v>#VALUE!</v>
      </c>
    </row>
    <row r="358" spans="1:3" x14ac:dyDescent="0.35">
      <c r="A358" s="3">
        <v>357</v>
      </c>
      <c r="B358" s="3" t="e">
        <f>'BD01'!L358</f>
        <v>#VALUE!</v>
      </c>
      <c r="C358" s="15" t="e">
        <f>'BD01'!M358</f>
        <v>#VALUE!</v>
      </c>
    </row>
    <row r="359" spans="1:3" x14ac:dyDescent="0.35">
      <c r="A359" s="3">
        <v>358</v>
      </c>
      <c r="B359" s="3" t="e">
        <f>'BD01'!L359</f>
        <v>#VALUE!</v>
      </c>
      <c r="C359" s="15" t="e">
        <f>'BD01'!M359</f>
        <v>#VALUE!</v>
      </c>
    </row>
    <row r="360" spans="1:3" x14ac:dyDescent="0.35">
      <c r="A360" s="3">
        <v>359</v>
      </c>
      <c r="B360" s="3" t="e">
        <f>'BD01'!L360</f>
        <v>#VALUE!</v>
      </c>
      <c r="C360" s="15" t="e">
        <f>'BD01'!M360</f>
        <v>#VALUE!</v>
      </c>
    </row>
    <row r="361" spans="1:3" x14ac:dyDescent="0.35">
      <c r="A361" s="3">
        <v>360</v>
      </c>
      <c r="B361" s="3" t="e">
        <f>'BD01'!L361</f>
        <v>#VALUE!</v>
      </c>
      <c r="C361" s="15" t="e">
        <f>'BD01'!M361</f>
        <v>#VALUE!</v>
      </c>
    </row>
    <row r="362" spans="1:3" x14ac:dyDescent="0.35">
      <c r="A362" s="3">
        <v>361</v>
      </c>
      <c r="B362" s="3" t="e">
        <f>'BD01'!L362</f>
        <v>#VALUE!</v>
      </c>
      <c r="C362" s="15" t="e">
        <f>'BD01'!M362</f>
        <v>#VALUE!</v>
      </c>
    </row>
    <row r="363" spans="1:3" x14ac:dyDescent="0.35">
      <c r="A363" s="3">
        <v>362</v>
      </c>
      <c r="B363" s="3" t="e">
        <f>'BD01'!L363</f>
        <v>#VALUE!</v>
      </c>
      <c r="C363" s="15" t="e">
        <f>'BD01'!M363</f>
        <v>#VALUE!</v>
      </c>
    </row>
    <row r="364" spans="1:3" x14ac:dyDescent="0.35">
      <c r="A364" s="3">
        <v>363</v>
      </c>
      <c r="B364" s="3" t="e">
        <f>'BD01'!L364</f>
        <v>#VALUE!</v>
      </c>
      <c r="C364" s="15" t="e">
        <f>'BD01'!M364</f>
        <v>#VALUE!</v>
      </c>
    </row>
    <row r="365" spans="1:3" x14ac:dyDescent="0.35">
      <c r="A365" s="3">
        <v>364</v>
      </c>
      <c r="B365" s="3" t="e">
        <f>'BD01'!L365</f>
        <v>#VALUE!</v>
      </c>
      <c r="C365" s="15" t="e">
        <f>'BD01'!M365</f>
        <v>#VALUE!</v>
      </c>
    </row>
    <row r="366" spans="1:3" x14ac:dyDescent="0.35">
      <c r="A366" s="3">
        <v>365</v>
      </c>
      <c r="B366" s="3" t="e">
        <f>'BD01'!L366</f>
        <v>#VALUE!</v>
      </c>
      <c r="C366" s="15" t="e">
        <f>'BD01'!M366</f>
        <v>#VALUE!</v>
      </c>
    </row>
    <row r="367" spans="1:3" x14ac:dyDescent="0.35">
      <c r="A367" s="3">
        <v>366</v>
      </c>
      <c r="B367" s="3" t="e">
        <f>'BD01'!L367</f>
        <v>#VALUE!</v>
      </c>
      <c r="C367" s="15" t="e">
        <f>'BD01'!M367</f>
        <v>#VALUE!</v>
      </c>
    </row>
    <row r="368" spans="1:3" x14ac:dyDescent="0.35">
      <c r="A368" s="3">
        <v>367</v>
      </c>
      <c r="B368" s="3" t="e">
        <f>'BD01'!L368</f>
        <v>#VALUE!</v>
      </c>
      <c r="C368" s="15" t="e">
        <f>'BD01'!M368</f>
        <v>#VALUE!</v>
      </c>
    </row>
    <row r="369" spans="1:3" x14ac:dyDescent="0.35">
      <c r="A369" s="3">
        <v>368</v>
      </c>
      <c r="B369" s="3" t="e">
        <f>'BD01'!L369</f>
        <v>#VALUE!</v>
      </c>
      <c r="C369" s="15" t="e">
        <f>'BD01'!M369</f>
        <v>#VALUE!</v>
      </c>
    </row>
    <row r="370" spans="1:3" x14ac:dyDescent="0.35">
      <c r="A370" s="3">
        <v>369</v>
      </c>
      <c r="B370" s="3" t="e">
        <f>'BD01'!L370</f>
        <v>#VALUE!</v>
      </c>
      <c r="C370" s="15" t="e">
        <f>'BD01'!M370</f>
        <v>#VALUE!</v>
      </c>
    </row>
    <row r="371" spans="1:3" x14ac:dyDescent="0.35">
      <c r="A371" s="3">
        <v>370</v>
      </c>
      <c r="B371" s="3" t="e">
        <f>'BD01'!L371</f>
        <v>#VALUE!</v>
      </c>
      <c r="C371" s="15" t="e">
        <f>'BD01'!M371</f>
        <v>#VALUE!</v>
      </c>
    </row>
    <row r="372" spans="1:3" x14ac:dyDescent="0.35">
      <c r="A372" s="3">
        <v>371</v>
      </c>
      <c r="B372" s="3" t="e">
        <f>'BD01'!L372</f>
        <v>#VALUE!</v>
      </c>
      <c r="C372" s="15" t="e">
        <f>'BD01'!M372</f>
        <v>#VALUE!</v>
      </c>
    </row>
    <row r="373" spans="1:3" x14ac:dyDescent="0.35">
      <c r="A373" s="3">
        <v>372</v>
      </c>
      <c r="B373" s="3" t="e">
        <f>'BD01'!L373</f>
        <v>#VALUE!</v>
      </c>
      <c r="C373" s="15" t="e">
        <f>'BD01'!M373</f>
        <v>#VALUE!</v>
      </c>
    </row>
    <row r="374" spans="1:3" x14ac:dyDescent="0.35">
      <c r="A374" s="3">
        <v>373</v>
      </c>
      <c r="B374" s="3" t="e">
        <f>'BD01'!L374</f>
        <v>#VALUE!</v>
      </c>
      <c r="C374" s="15" t="e">
        <f>'BD01'!M374</f>
        <v>#VALUE!</v>
      </c>
    </row>
    <row r="375" spans="1:3" x14ac:dyDescent="0.35">
      <c r="A375" s="3">
        <v>374</v>
      </c>
      <c r="B375" s="3" t="e">
        <f>'BD01'!L375</f>
        <v>#VALUE!</v>
      </c>
      <c r="C375" s="15" t="e">
        <f>'BD01'!M375</f>
        <v>#VALUE!</v>
      </c>
    </row>
    <row r="376" spans="1:3" x14ac:dyDescent="0.35">
      <c r="A376" s="3">
        <v>375</v>
      </c>
      <c r="B376" s="3" t="e">
        <f>'BD01'!L376</f>
        <v>#VALUE!</v>
      </c>
      <c r="C376" s="15" t="e">
        <f>'BD01'!M376</f>
        <v>#VALUE!</v>
      </c>
    </row>
    <row r="377" spans="1:3" x14ac:dyDescent="0.35">
      <c r="A377" s="3">
        <v>376</v>
      </c>
      <c r="B377" s="3" t="e">
        <f>'BD01'!L377</f>
        <v>#VALUE!</v>
      </c>
      <c r="C377" s="15" t="e">
        <f>'BD01'!M377</f>
        <v>#VALUE!</v>
      </c>
    </row>
    <row r="378" spans="1:3" x14ac:dyDescent="0.35">
      <c r="A378" s="3">
        <v>377</v>
      </c>
      <c r="B378" s="3" t="e">
        <f>'BD01'!L378</f>
        <v>#VALUE!</v>
      </c>
      <c r="C378" s="15" t="e">
        <f>'BD01'!M378</f>
        <v>#VALUE!</v>
      </c>
    </row>
    <row r="379" spans="1:3" x14ac:dyDescent="0.35">
      <c r="A379" s="3">
        <v>378</v>
      </c>
      <c r="B379" s="3" t="e">
        <f>'BD01'!L379</f>
        <v>#VALUE!</v>
      </c>
      <c r="C379" s="15" t="e">
        <f>'BD01'!M379</f>
        <v>#VALUE!</v>
      </c>
    </row>
    <row r="380" spans="1:3" x14ac:dyDescent="0.35">
      <c r="A380" s="3">
        <v>379</v>
      </c>
      <c r="B380" s="3" t="e">
        <f>'BD01'!L380</f>
        <v>#VALUE!</v>
      </c>
      <c r="C380" s="15" t="e">
        <f>'BD01'!M380</f>
        <v>#VALUE!</v>
      </c>
    </row>
    <row r="381" spans="1:3" x14ac:dyDescent="0.35">
      <c r="A381" s="3">
        <v>380</v>
      </c>
      <c r="B381" s="3" t="e">
        <f>'BD01'!L381</f>
        <v>#VALUE!</v>
      </c>
      <c r="C381" s="15" t="e">
        <f>'BD01'!M381</f>
        <v>#VALUE!</v>
      </c>
    </row>
    <row r="382" spans="1:3" x14ac:dyDescent="0.35">
      <c r="A382" s="3">
        <v>381</v>
      </c>
      <c r="B382" s="3" t="e">
        <f>'BD01'!L382</f>
        <v>#VALUE!</v>
      </c>
      <c r="C382" s="15" t="e">
        <f>'BD01'!M382</f>
        <v>#VALUE!</v>
      </c>
    </row>
    <row r="383" spans="1:3" x14ac:dyDescent="0.35">
      <c r="A383" s="3">
        <v>382</v>
      </c>
      <c r="B383" s="3" t="e">
        <f>'BD01'!L383</f>
        <v>#VALUE!</v>
      </c>
      <c r="C383" s="15" t="e">
        <f>'BD01'!M383</f>
        <v>#VALUE!</v>
      </c>
    </row>
    <row r="384" spans="1:3" x14ac:dyDescent="0.35">
      <c r="A384" s="3">
        <v>383</v>
      </c>
      <c r="B384" s="3" t="e">
        <f>'BD01'!L384</f>
        <v>#VALUE!</v>
      </c>
      <c r="C384" s="15" t="e">
        <f>'BD01'!M384</f>
        <v>#VALUE!</v>
      </c>
    </row>
    <row r="385" spans="1:3" x14ac:dyDescent="0.35">
      <c r="A385" s="3">
        <v>384</v>
      </c>
      <c r="B385" s="3" t="e">
        <f>'BD01'!L385</f>
        <v>#VALUE!</v>
      </c>
      <c r="C385" s="15" t="e">
        <f>'BD01'!M385</f>
        <v>#VALUE!</v>
      </c>
    </row>
    <row r="386" spans="1:3" x14ac:dyDescent="0.35">
      <c r="A386" s="3">
        <v>385</v>
      </c>
      <c r="B386" s="3" t="e">
        <f>'BD01'!L386</f>
        <v>#VALUE!</v>
      </c>
      <c r="C386" s="15" t="e">
        <f>'BD01'!M386</f>
        <v>#VALUE!</v>
      </c>
    </row>
    <row r="387" spans="1:3" x14ac:dyDescent="0.35">
      <c r="A387" s="3">
        <v>386</v>
      </c>
      <c r="B387" s="3" t="e">
        <f>'BD01'!L387</f>
        <v>#VALUE!</v>
      </c>
      <c r="C387" s="15" t="e">
        <f>'BD01'!M387</f>
        <v>#VALUE!</v>
      </c>
    </row>
    <row r="388" spans="1:3" x14ac:dyDescent="0.35">
      <c r="A388" s="3">
        <v>387</v>
      </c>
      <c r="B388" s="3" t="e">
        <f>'BD01'!L388</f>
        <v>#VALUE!</v>
      </c>
      <c r="C388" s="15" t="e">
        <f>'BD01'!M388</f>
        <v>#VALUE!</v>
      </c>
    </row>
    <row r="389" spans="1:3" x14ac:dyDescent="0.35">
      <c r="A389" s="3">
        <v>388</v>
      </c>
      <c r="B389" s="3" t="e">
        <f>'BD01'!L389</f>
        <v>#VALUE!</v>
      </c>
      <c r="C389" s="15" t="e">
        <f>'BD01'!M389</f>
        <v>#VALUE!</v>
      </c>
    </row>
    <row r="390" spans="1:3" x14ac:dyDescent="0.35">
      <c r="A390" s="3">
        <v>389</v>
      </c>
      <c r="B390" s="3" t="e">
        <f>'BD01'!L390</f>
        <v>#VALUE!</v>
      </c>
      <c r="C390" s="15" t="e">
        <f>'BD01'!M390</f>
        <v>#VALUE!</v>
      </c>
    </row>
    <row r="391" spans="1:3" x14ac:dyDescent="0.35">
      <c r="A391" s="3">
        <v>390</v>
      </c>
      <c r="B391" s="3" t="e">
        <f>'BD01'!L391</f>
        <v>#VALUE!</v>
      </c>
      <c r="C391" s="15" t="e">
        <f>'BD01'!M391</f>
        <v>#VALUE!</v>
      </c>
    </row>
    <row r="392" spans="1:3" x14ac:dyDescent="0.35">
      <c r="A392" s="3">
        <v>391</v>
      </c>
      <c r="B392" s="3" t="e">
        <f>'BD01'!L392</f>
        <v>#VALUE!</v>
      </c>
      <c r="C392" s="15" t="e">
        <f>'BD01'!M392</f>
        <v>#VALUE!</v>
      </c>
    </row>
    <row r="393" spans="1:3" x14ac:dyDescent="0.35">
      <c r="A393" s="3">
        <v>392</v>
      </c>
      <c r="B393" s="3" t="e">
        <f>'BD01'!L393</f>
        <v>#VALUE!</v>
      </c>
      <c r="C393" s="15" t="e">
        <f>'BD01'!M393</f>
        <v>#VALUE!</v>
      </c>
    </row>
    <row r="394" spans="1:3" x14ac:dyDescent="0.35">
      <c r="A394" s="3">
        <v>393</v>
      </c>
      <c r="B394" s="3" t="e">
        <f>'BD01'!L394</f>
        <v>#VALUE!</v>
      </c>
      <c r="C394" s="15" t="e">
        <f>'BD01'!M394</f>
        <v>#VALUE!</v>
      </c>
    </row>
    <row r="395" spans="1:3" x14ac:dyDescent="0.35">
      <c r="A395" s="3">
        <v>394</v>
      </c>
      <c r="B395" s="3" t="e">
        <f>'BD01'!L395</f>
        <v>#VALUE!</v>
      </c>
      <c r="C395" s="15" t="e">
        <f>'BD01'!M395</f>
        <v>#VALUE!</v>
      </c>
    </row>
    <row r="396" spans="1:3" x14ac:dyDescent="0.35">
      <c r="A396" s="3">
        <v>395</v>
      </c>
      <c r="B396" s="3" t="e">
        <f>'BD01'!L396</f>
        <v>#VALUE!</v>
      </c>
      <c r="C396" s="15" t="e">
        <f>'BD01'!M396</f>
        <v>#VALUE!</v>
      </c>
    </row>
    <row r="397" spans="1:3" x14ac:dyDescent="0.35">
      <c r="A397" s="3">
        <v>396</v>
      </c>
      <c r="B397" s="3" t="e">
        <f>'BD01'!L397</f>
        <v>#VALUE!</v>
      </c>
      <c r="C397" s="15" t="e">
        <f>'BD01'!M397</f>
        <v>#VALUE!</v>
      </c>
    </row>
    <row r="398" spans="1:3" x14ac:dyDescent="0.35">
      <c r="A398" s="3">
        <v>397</v>
      </c>
      <c r="B398" s="3" t="e">
        <f>'BD01'!L398</f>
        <v>#VALUE!</v>
      </c>
      <c r="C398" s="15" t="e">
        <f>'BD01'!M398</f>
        <v>#VALUE!</v>
      </c>
    </row>
    <row r="399" spans="1:3" x14ac:dyDescent="0.35">
      <c r="A399" s="3">
        <v>398</v>
      </c>
      <c r="B399" s="3" t="e">
        <f>'BD01'!L399</f>
        <v>#VALUE!</v>
      </c>
      <c r="C399" s="15" t="e">
        <f>'BD01'!M399</f>
        <v>#VALUE!</v>
      </c>
    </row>
    <row r="400" spans="1:3" x14ac:dyDescent="0.35">
      <c r="A400" s="3">
        <v>399</v>
      </c>
      <c r="B400" s="3" t="e">
        <f>'BD01'!L400</f>
        <v>#VALUE!</v>
      </c>
      <c r="C400" s="15" t="e">
        <f>'BD01'!M400</f>
        <v>#VALUE!</v>
      </c>
    </row>
    <row r="401" spans="1:3" x14ac:dyDescent="0.35">
      <c r="A401" s="3">
        <v>400</v>
      </c>
      <c r="B401" s="3" t="e">
        <f>'BD01'!L401</f>
        <v>#VALUE!</v>
      </c>
      <c r="C401" s="15" t="e">
        <f>'BD01'!M401</f>
        <v>#VALUE!</v>
      </c>
    </row>
    <row r="402" spans="1:3" x14ac:dyDescent="0.35">
      <c r="A402" s="1"/>
      <c r="B402" s="1"/>
      <c r="C402" s="1"/>
    </row>
    <row r="403" spans="1:3" x14ac:dyDescent="0.35">
      <c r="A403" s="1"/>
      <c r="B403" s="1"/>
      <c r="C403" s="1"/>
    </row>
    <row r="404" spans="1:3" x14ac:dyDescent="0.35">
      <c r="A404" s="1"/>
      <c r="B404" s="1"/>
      <c r="C404" s="1"/>
    </row>
    <row r="405" spans="1:3" x14ac:dyDescent="0.35">
      <c r="A405" s="1"/>
      <c r="B405" s="1"/>
      <c r="C405" s="1"/>
    </row>
    <row r="406" spans="1:3" x14ac:dyDescent="0.35">
      <c r="A406" s="1"/>
      <c r="B406" s="1"/>
      <c r="C406" s="1"/>
    </row>
    <row r="407" spans="1:3" x14ac:dyDescent="0.35">
      <c r="A407" s="1"/>
      <c r="B407" s="1"/>
      <c r="C407" s="1"/>
    </row>
    <row r="408" spans="1:3" x14ac:dyDescent="0.35">
      <c r="A408" s="1"/>
      <c r="B408" s="1"/>
      <c r="C408" s="1"/>
    </row>
    <row r="409" spans="1:3" x14ac:dyDescent="0.35">
      <c r="A409" s="1"/>
      <c r="B409" s="1"/>
      <c r="C409" s="1"/>
    </row>
    <row r="410" spans="1:3" x14ac:dyDescent="0.35">
      <c r="A410" s="1"/>
      <c r="B410" s="1"/>
      <c r="C410" s="1"/>
    </row>
    <row r="411" spans="1:3" x14ac:dyDescent="0.35">
      <c r="A411" s="1"/>
      <c r="B411" s="1"/>
      <c r="C411" s="1"/>
    </row>
    <row r="412" spans="1:3" x14ac:dyDescent="0.35">
      <c r="A412" s="1"/>
      <c r="B412" s="1"/>
      <c r="C412" s="1"/>
    </row>
    <row r="413" spans="1:3" x14ac:dyDescent="0.35">
      <c r="A413" s="1"/>
      <c r="B413" s="1"/>
      <c r="C413" s="1"/>
    </row>
    <row r="414" spans="1:3" x14ac:dyDescent="0.35">
      <c r="A414" s="1"/>
      <c r="B414" s="1"/>
      <c r="C414" s="1"/>
    </row>
    <row r="415" spans="1:3" x14ac:dyDescent="0.35">
      <c r="A415" s="1"/>
      <c r="B415" s="1"/>
      <c r="C415" s="1"/>
    </row>
    <row r="416" spans="1:3" x14ac:dyDescent="0.35">
      <c r="A416" s="1"/>
      <c r="B416" s="1"/>
      <c r="C416" s="1"/>
    </row>
    <row r="417" spans="1:3" x14ac:dyDescent="0.35">
      <c r="A417" s="1"/>
      <c r="B417" s="1"/>
      <c r="C417" s="1"/>
    </row>
    <row r="418" spans="1:3" x14ac:dyDescent="0.35">
      <c r="A418" s="1"/>
      <c r="B418" s="1"/>
      <c r="C418" s="1"/>
    </row>
    <row r="419" spans="1:3" x14ac:dyDescent="0.35">
      <c r="A419" s="1"/>
      <c r="B419" s="1"/>
      <c r="C419" s="1"/>
    </row>
    <row r="420" spans="1:3" x14ac:dyDescent="0.35">
      <c r="A420" s="1"/>
      <c r="B420" s="1"/>
      <c r="C420" s="1"/>
    </row>
    <row r="421" spans="1:3" x14ac:dyDescent="0.35">
      <c r="A421" s="1"/>
      <c r="B421" s="1"/>
      <c r="C421" s="1"/>
    </row>
    <row r="422" spans="1:3" x14ac:dyDescent="0.35">
      <c r="A422" s="1"/>
      <c r="B422" s="1"/>
      <c r="C422" s="1"/>
    </row>
    <row r="423" spans="1:3" x14ac:dyDescent="0.35">
      <c r="A423" s="1"/>
      <c r="B423" s="1"/>
      <c r="C423" s="1"/>
    </row>
    <row r="424" spans="1:3" x14ac:dyDescent="0.35">
      <c r="A424" s="1"/>
      <c r="B424" s="1"/>
      <c r="C424" s="1"/>
    </row>
    <row r="425" spans="1:3" x14ac:dyDescent="0.35">
      <c r="A425" s="1"/>
      <c r="B425" s="1"/>
      <c r="C425" s="1"/>
    </row>
    <row r="426" spans="1:3" x14ac:dyDescent="0.35">
      <c r="A426" s="1"/>
      <c r="B426" s="1"/>
      <c r="C426" s="1"/>
    </row>
    <row r="427" spans="1:3" x14ac:dyDescent="0.35">
      <c r="A427" s="1"/>
      <c r="B427" s="1"/>
      <c r="C427" s="1"/>
    </row>
    <row r="428" spans="1:3" x14ac:dyDescent="0.35">
      <c r="A428" s="1"/>
      <c r="B428" s="1"/>
      <c r="C428" s="1"/>
    </row>
    <row r="429" spans="1:3" x14ac:dyDescent="0.35">
      <c r="A429" s="1"/>
      <c r="B429" s="1"/>
      <c r="C429" s="1"/>
    </row>
    <row r="430" spans="1:3" x14ac:dyDescent="0.35">
      <c r="A430" s="1"/>
      <c r="B430" s="1"/>
      <c r="C430" s="1"/>
    </row>
    <row r="431" spans="1:3" x14ac:dyDescent="0.35">
      <c r="A431" s="1"/>
      <c r="B431" s="1"/>
      <c r="C431" s="1"/>
    </row>
    <row r="432" spans="1:3" x14ac:dyDescent="0.35">
      <c r="A432" s="1"/>
      <c r="B432" s="1"/>
      <c r="C432" s="1"/>
    </row>
    <row r="433" spans="1:3" x14ac:dyDescent="0.35">
      <c r="A433" s="1"/>
      <c r="B433" s="1"/>
      <c r="C433" s="1"/>
    </row>
    <row r="434" spans="1:3" x14ac:dyDescent="0.35">
      <c r="A434" s="1"/>
      <c r="B434" s="1"/>
      <c r="C434" s="1"/>
    </row>
    <row r="435" spans="1:3" x14ac:dyDescent="0.35">
      <c r="A435" s="1"/>
      <c r="B435" s="1"/>
      <c r="C435" s="1"/>
    </row>
    <row r="436" spans="1:3" x14ac:dyDescent="0.35">
      <c r="A436" s="1"/>
      <c r="B436" s="1"/>
      <c r="C436" s="1"/>
    </row>
    <row r="437" spans="1:3" x14ac:dyDescent="0.35">
      <c r="A437" s="1"/>
      <c r="B437" s="1"/>
      <c r="C437" s="1"/>
    </row>
    <row r="438" spans="1:3" x14ac:dyDescent="0.35">
      <c r="A438" s="1"/>
      <c r="B438" s="1"/>
      <c r="C438" s="1"/>
    </row>
    <row r="439" spans="1:3" x14ac:dyDescent="0.35">
      <c r="A439" s="1"/>
      <c r="B439" s="1"/>
      <c r="C439" s="1"/>
    </row>
    <row r="440" spans="1:3" x14ac:dyDescent="0.35">
      <c r="A440" s="1"/>
      <c r="B440" s="1"/>
      <c r="C440" s="1"/>
    </row>
    <row r="441" spans="1:3" x14ac:dyDescent="0.35">
      <c r="A441" s="1"/>
      <c r="B441" s="1"/>
      <c r="C441" s="1"/>
    </row>
    <row r="442" spans="1:3" x14ac:dyDescent="0.35">
      <c r="A442" s="1"/>
      <c r="B442" s="1"/>
      <c r="C442" s="1"/>
    </row>
    <row r="443" spans="1:3" x14ac:dyDescent="0.35">
      <c r="A443" s="1"/>
      <c r="B443" s="1"/>
      <c r="C443" s="1"/>
    </row>
    <row r="444" spans="1:3" x14ac:dyDescent="0.35">
      <c r="A444" s="1"/>
      <c r="B444" s="1"/>
      <c r="C444" s="1"/>
    </row>
    <row r="445" spans="1:3" x14ac:dyDescent="0.35">
      <c r="A445" s="1"/>
      <c r="B445" s="1"/>
      <c r="C445" s="1"/>
    </row>
    <row r="446" spans="1:3" x14ac:dyDescent="0.35">
      <c r="A446" s="1"/>
      <c r="B446" s="1"/>
      <c r="C446" s="1"/>
    </row>
    <row r="447" spans="1:3" x14ac:dyDescent="0.35">
      <c r="A447" s="1"/>
      <c r="B447" s="1"/>
      <c r="C447" s="1"/>
    </row>
    <row r="448" spans="1:3" x14ac:dyDescent="0.35">
      <c r="A448" s="1"/>
      <c r="B448" s="1"/>
      <c r="C448" s="1"/>
    </row>
    <row r="449" spans="1:3" x14ac:dyDescent="0.35">
      <c r="A449" s="1"/>
      <c r="B449" s="1"/>
      <c r="C449" s="1"/>
    </row>
    <row r="450" spans="1:3" x14ac:dyDescent="0.35">
      <c r="A450" s="1"/>
      <c r="B450" s="1"/>
      <c r="C450" s="1"/>
    </row>
    <row r="451" spans="1:3" x14ac:dyDescent="0.35">
      <c r="A451" s="1"/>
      <c r="B451" s="1"/>
      <c r="C451" s="1"/>
    </row>
  </sheetData>
  <sheetProtection sheet="1" objects="1" scenarios="1" selectLockedCells="1" selectUnlockedCells="1"/>
  <mergeCells count="1">
    <mergeCell ref="G3:I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438B-52C1-C040-80D0-C65E76CB579D}">
  <dimension ref="A1:AM141"/>
  <sheetViews>
    <sheetView topLeftCell="Q1" zoomScale="89" workbookViewId="0">
      <selection activeCell="T35" sqref="T35"/>
    </sheetView>
  </sheetViews>
  <sheetFormatPr baseColWidth="10" defaultColWidth="11" defaultRowHeight="15.5" x14ac:dyDescent="0.35"/>
  <cols>
    <col min="3" max="4" width="10.83203125" style="1"/>
    <col min="14" max="14" width="27.33203125" style="1" bestFit="1" customWidth="1"/>
    <col min="15" max="15" width="12.08203125" style="1" bestFit="1" customWidth="1"/>
    <col min="17" max="17" width="17.08203125" bestFit="1" customWidth="1"/>
    <col min="18" max="18" width="10.33203125" bestFit="1" customWidth="1"/>
    <col min="19" max="19" width="11.58203125" bestFit="1" customWidth="1"/>
    <col min="21" max="21" width="20.83203125" bestFit="1" customWidth="1"/>
    <col min="22" max="22" width="10.83203125" customWidth="1"/>
    <col min="25" max="25" width="11.33203125" bestFit="1" customWidth="1"/>
    <col min="26" max="26" width="21" bestFit="1" customWidth="1"/>
    <col min="27" max="27" width="9.83203125" bestFit="1" customWidth="1"/>
    <col min="38" max="38" width="11.33203125" bestFit="1" customWidth="1"/>
    <col min="39" max="39" width="10.83203125" style="1"/>
  </cols>
  <sheetData>
    <row r="1" spans="1:39" x14ac:dyDescent="0.35">
      <c r="C1" s="1" t="s">
        <v>54</v>
      </c>
      <c r="D1" s="1" t="s">
        <v>55</v>
      </c>
      <c r="J1" s="3">
        <v>466</v>
      </c>
      <c r="K1" s="1">
        <v>1</v>
      </c>
      <c r="L1" s="3">
        <v>466</v>
      </c>
    </row>
    <row r="2" spans="1:39" x14ac:dyDescent="0.35">
      <c r="A2" s="3">
        <v>281</v>
      </c>
      <c r="B2" s="3">
        <v>1</v>
      </c>
      <c r="C2" s="3">
        <v>1</v>
      </c>
      <c r="D2" s="3">
        <v>251</v>
      </c>
      <c r="E2" s="3">
        <v>662487</v>
      </c>
      <c r="F2" s="3">
        <v>4</v>
      </c>
      <c r="J2" s="3">
        <v>251</v>
      </c>
      <c r="K2" s="3">
        <v>1</v>
      </c>
      <c r="L2" s="3">
        <v>251</v>
      </c>
      <c r="AJ2" s="3">
        <v>1</v>
      </c>
      <c r="AL2" t="str">
        <f>IF(AJ2=1,"MASCULINO","FEMENINO")</f>
        <v>MASCULINO</v>
      </c>
      <c r="AM2" s="3">
        <v>251</v>
      </c>
    </row>
    <row r="3" spans="1:39" x14ac:dyDescent="0.35">
      <c r="A3" s="3">
        <v>282</v>
      </c>
      <c r="B3" s="3">
        <v>1</v>
      </c>
      <c r="C3" s="3">
        <v>1</v>
      </c>
      <c r="D3" s="3">
        <v>236</v>
      </c>
      <c r="E3" s="3">
        <v>349927</v>
      </c>
      <c r="F3" s="3">
        <v>3</v>
      </c>
      <c r="H3" s="3">
        <v>0</v>
      </c>
      <c r="I3" s="3">
        <v>401</v>
      </c>
      <c r="J3" s="3">
        <v>236</v>
      </c>
      <c r="K3" s="3">
        <v>1</v>
      </c>
      <c r="L3" s="3">
        <v>236</v>
      </c>
      <c r="U3" s="3" t="s">
        <v>56</v>
      </c>
      <c r="V3" s="3" t="s">
        <v>57</v>
      </c>
      <c r="AJ3" s="3">
        <v>1</v>
      </c>
      <c r="AL3" t="str">
        <f t="shared" ref="AL3:AL66" si="0">IF(AJ3=1,"MASCULINO","FEMENINO")</f>
        <v>MASCULINO</v>
      </c>
      <c r="AM3" s="3">
        <v>236</v>
      </c>
    </row>
    <row r="4" spans="1:39" x14ac:dyDescent="0.35">
      <c r="A4" s="3">
        <v>283</v>
      </c>
      <c r="B4" s="3">
        <v>1</v>
      </c>
      <c r="C4" s="3">
        <v>1</v>
      </c>
      <c r="D4" s="3">
        <v>767</v>
      </c>
      <c r="E4" s="3">
        <v>462593</v>
      </c>
      <c r="F4" s="3">
        <v>4</v>
      </c>
      <c r="H4" s="3">
        <v>0</v>
      </c>
      <c r="I4" s="3">
        <v>792</v>
      </c>
      <c r="J4" s="3">
        <v>767</v>
      </c>
      <c r="K4" s="3">
        <v>1</v>
      </c>
      <c r="L4" s="3">
        <v>767</v>
      </c>
      <c r="U4" s="3" t="s">
        <v>58</v>
      </c>
      <c r="V4" s="11">
        <f>AVERAGE(D:D)</f>
        <v>481.1142857142857</v>
      </c>
      <c r="Y4" s="3" t="s">
        <v>59</v>
      </c>
      <c r="Z4" s="3" t="s">
        <v>60</v>
      </c>
      <c r="AA4" s="5" t="s">
        <v>61</v>
      </c>
      <c r="AJ4" s="3">
        <v>1</v>
      </c>
      <c r="AL4" t="str">
        <f t="shared" si="0"/>
        <v>MASCULINO</v>
      </c>
      <c r="AM4" s="3">
        <v>767</v>
      </c>
    </row>
    <row r="5" spans="1:39" x14ac:dyDescent="0.35">
      <c r="A5" s="3">
        <v>284</v>
      </c>
      <c r="B5" s="3">
        <v>1</v>
      </c>
      <c r="C5" s="3">
        <v>1</v>
      </c>
      <c r="D5" s="3">
        <v>466</v>
      </c>
      <c r="E5" s="3">
        <v>374157</v>
      </c>
      <c r="F5" s="3">
        <v>5</v>
      </c>
      <c r="H5" s="3">
        <v>0</v>
      </c>
      <c r="I5" s="3">
        <v>271</v>
      </c>
      <c r="J5" s="3">
        <v>474</v>
      </c>
      <c r="K5" s="3">
        <v>1</v>
      </c>
      <c r="L5" s="3">
        <v>474</v>
      </c>
      <c r="U5" s="3" t="s">
        <v>62</v>
      </c>
      <c r="V5" s="3">
        <f>MEDIAN(D:D)</f>
        <v>463.5</v>
      </c>
      <c r="X5">
        <v>1</v>
      </c>
      <c r="Y5" s="3" t="s">
        <v>52</v>
      </c>
      <c r="Z5" s="3">
        <f>COUNTIF(B:B,1)</f>
        <v>76</v>
      </c>
      <c r="AA5" s="12">
        <f>Z5/Z7</f>
        <v>0.54285714285714282</v>
      </c>
      <c r="AJ5" s="3">
        <v>1</v>
      </c>
      <c r="AL5" t="str">
        <f t="shared" si="0"/>
        <v>MASCULINO</v>
      </c>
      <c r="AM5" s="3">
        <v>466</v>
      </c>
    </row>
    <row r="6" spans="1:39" x14ac:dyDescent="0.35">
      <c r="A6" s="3">
        <v>285</v>
      </c>
      <c r="B6" s="3">
        <v>1</v>
      </c>
      <c r="C6" s="3">
        <v>1</v>
      </c>
      <c r="D6" s="3">
        <v>474</v>
      </c>
      <c r="E6" s="3">
        <v>497144</v>
      </c>
      <c r="F6" s="3">
        <v>4</v>
      </c>
      <c r="H6" s="3">
        <v>0</v>
      </c>
      <c r="I6" s="3">
        <v>957</v>
      </c>
      <c r="J6" s="3">
        <v>785</v>
      </c>
      <c r="K6" s="3">
        <v>1</v>
      </c>
      <c r="L6" s="3">
        <v>785</v>
      </c>
      <c r="U6" s="3" t="s">
        <v>63</v>
      </c>
      <c r="V6" s="3">
        <f>MODE(D:D)</f>
        <v>767</v>
      </c>
      <c r="X6">
        <v>0</v>
      </c>
      <c r="Y6" s="3" t="s">
        <v>53</v>
      </c>
      <c r="Z6" s="3">
        <f>Z7-Z5</f>
        <v>64</v>
      </c>
      <c r="AA6" s="12">
        <f>Z6/Z7</f>
        <v>0.45714285714285713</v>
      </c>
      <c r="AJ6" s="3">
        <v>1</v>
      </c>
      <c r="AL6" t="str">
        <f t="shared" si="0"/>
        <v>MASCULINO</v>
      </c>
      <c r="AM6" s="3">
        <v>474</v>
      </c>
    </row>
    <row r="7" spans="1:39" x14ac:dyDescent="0.35">
      <c r="A7" s="3">
        <v>286</v>
      </c>
      <c r="B7" s="3">
        <v>1</v>
      </c>
      <c r="C7" s="3">
        <v>1</v>
      </c>
      <c r="D7" s="3">
        <v>785</v>
      </c>
      <c r="E7" s="3">
        <v>457891</v>
      </c>
      <c r="F7" s="3">
        <v>4</v>
      </c>
      <c r="H7" s="3">
        <v>0</v>
      </c>
      <c r="I7" s="3">
        <v>66</v>
      </c>
      <c r="J7" s="3">
        <v>11</v>
      </c>
      <c r="K7" s="3">
        <v>1</v>
      </c>
      <c r="L7" s="3">
        <v>11</v>
      </c>
      <c r="Y7" s="3" t="s">
        <v>64</v>
      </c>
      <c r="Z7" s="3">
        <f>COUNT(F:F)</f>
        <v>140</v>
      </c>
      <c r="AA7" s="12">
        <v>1</v>
      </c>
      <c r="AJ7" s="3">
        <v>1</v>
      </c>
      <c r="AL7" t="str">
        <f t="shared" si="0"/>
        <v>MASCULINO</v>
      </c>
      <c r="AM7" s="3">
        <v>785</v>
      </c>
    </row>
    <row r="8" spans="1:39" x14ac:dyDescent="0.35">
      <c r="A8" s="3">
        <v>287</v>
      </c>
      <c r="B8" s="3">
        <v>0</v>
      </c>
      <c r="C8" s="3">
        <v>0</v>
      </c>
      <c r="D8" s="3">
        <v>401</v>
      </c>
      <c r="E8" s="3">
        <v>523302</v>
      </c>
      <c r="F8" s="3">
        <v>3</v>
      </c>
      <c r="H8" s="3">
        <v>0</v>
      </c>
      <c r="I8" s="3">
        <v>928</v>
      </c>
      <c r="J8" s="3">
        <v>643</v>
      </c>
      <c r="K8" s="3">
        <v>1</v>
      </c>
      <c r="L8" s="3">
        <v>643</v>
      </c>
      <c r="Q8" s="3" t="s">
        <v>56</v>
      </c>
      <c r="R8" s="3" t="s">
        <v>65</v>
      </c>
      <c r="U8" s="4" t="s">
        <v>56</v>
      </c>
      <c r="V8" s="4" t="s">
        <v>57</v>
      </c>
      <c r="AJ8" s="3">
        <v>0</v>
      </c>
      <c r="AL8" t="str">
        <f t="shared" si="0"/>
        <v>FEMENINO</v>
      </c>
      <c r="AM8" s="3">
        <v>401</v>
      </c>
    </row>
    <row r="9" spans="1:39" x14ac:dyDescent="0.35">
      <c r="A9" s="3">
        <v>288</v>
      </c>
      <c r="B9" s="3">
        <v>0</v>
      </c>
      <c r="C9" s="3">
        <v>0</v>
      </c>
      <c r="D9" s="3">
        <v>792</v>
      </c>
      <c r="E9" s="3">
        <v>635397</v>
      </c>
      <c r="F9" s="3">
        <v>3</v>
      </c>
      <c r="H9" s="3">
        <v>0</v>
      </c>
      <c r="I9" s="3">
        <v>578</v>
      </c>
      <c r="J9" s="3">
        <v>466</v>
      </c>
      <c r="K9" s="3">
        <v>1</v>
      </c>
      <c r="L9" s="3">
        <v>466</v>
      </c>
      <c r="Q9" s="3" t="s">
        <v>66</v>
      </c>
      <c r="R9" s="3">
        <f>MIN(D:D)</f>
        <v>11</v>
      </c>
      <c r="U9" s="4" t="s">
        <v>67</v>
      </c>
      <c r="V9" s="13">
        <f>STDEV(D:D)</f>
        <v>208.35643525218251</v>
      </c>
      <c r="AJ9" s="3">
        <v>0</v>
      </c>
      <c r="AL9" t="str">
        <f t="shared" si="0"/>
        <v>FEMENINO</v>
      </c>
      <c r="AM9" s="3">
        <v>792</v>
      </c>
    </row>
    <row r="10" spans="1:39" x14ac:dyDescent="0.35">
      <c r="A10" s="3">
        <v>289</v>
      </c>
      <c r="B10" s="3">
        <v>1</v>
      </c>
      <c r="C10" s="3">
        <v>1</v>
      </c>
      <c r="D10" s="3">
        <v>11</v>
      </c>
      <c r="E10" s="3">
        <v>535674</v>
      </c>
      <c r="F10" s="3">
        <v>4</v>
      </c>
      <c r="H10" s="3">
        <v>0</v>
      </c>
      <c r="I10" s="3">
        <v>391</v>
      </c>
      <c r="J10" s="3">
        <v>333</v>
      </c>
      <c r="K10" s="3">
        <v>1</v>
      </c>
      <c r="L10" s="3">
        <v>333</v>
      </c>
      <c r="Q10" s="3" t="s">
        <v>68</v>
      </c>
      <c r="R10" s="3">
        <f>QUARTILE(D:D,1)</f>
        <v>332.25</v>
      </c>
      <c r="U10" s="4" t="s">
        <v>69</v>
      </c>
      <c r="V10" s="4">
        <f>R13-R9</f>
        <v>982</v>
      </c>
      <c r="AJ10" s="3">
        <v>1</v>
      </c>
      <c r="AL10" t="str">
        <f t="shared" si="0"/>
        <v>MASCULINO</v>
      </c>
      <c r="AM10" s="3">
        <v>11</v>
      </c>
    </row>
    <row r="11" spans="1:39" x14ac:dyDescent="0.35">
      <c r="A11" s="3">
        <v>290</v>
      </c>
      <c r="B11" s="3">
        <v>0</v>
      </c>
      <c r="C11" s="3">
        <v>0</v>
      </c>
      <c r="D11" s="3">
        <v>271</v>
      </c>
      <c r="E11" s="3">
        <v>1047089</v>
      </c>
      <c r="F11" s="3">
        <v>3</v>
      </c>
      <c r="H11" s="3">
        <v>0</v>
      </c>
      <c r="I11" s="3">
        <v>525</v>
      </c>
      <c r="J11" s="3">
        <v>515</v>
      </c>
      <c r="K11" s="3">
        <v>1</v>
      </c>
      <c r="L11" s="3">
        <v>515</v>
      </c>
      <c r="Q11" s="3" t="s">
        <v>70</v>
      </c>
      <c r="R11" s="3">
        <f>QUARTILE(D:D,2)</f>
        <v>463.5</v>
      </c>
      <c r="U11" s="4" t="s">
        <v>71</v>
      </c>
      <c r="V11" s="4">
        <f>R12-R10</f>
        <v>301.75</v>
      </c>
      <c r="AJ11" s="3">
        <v>0</v>
      </c>
      <c r="AL11" t="str">
        <f t="shared" si="0"/>
        <v>FEMENINO</v>
      </c>
      <c r="AM11" s="3">
        <v>271</v>
      </c>
    </row>
    <row r="12" spans="1:39" x14ac:dyDescent="0.35">
      <c r="A12" s="3">
        <v>291</v>
      </c>
      <c r="B12" s="3">
        <v>0</v>
      </c>
      <c r="C12" s="3">
        <v>0</v>
      </c>
      <c r="D12" s="3">
        <v>957</v>
      </c>
      <c r="E12" s="3">
        <v>801736</v>
      </c>
      <c r="F12" s="3">
        <v>4</v>
      </c>
      <c r="H12" s="3">
        <v>0</v>
      </c>
      <c r="I12" s="3">
        <v>116</v>
      </c>
      <c r="J12" s="3">
        <v>647</v>
      </c>
      <c r="K12" s="3">
        <v>1</v>
      </c>
      <c r="L12" s="3">
        <v>647</v>
      </c>
      <c r="Q12" s="3" t="s">
        <v>72</v>
      </c>
      <c r="R12" s="3">
        <f>QUARTILE(D:D,3)</f>
        <v>634</v>
      </c>
      <c r="U12" s="4" t="s">
        <v>73</v>
      </c>
      <c r="V12" s="14">
        <f>V9/V4</f>
        <v>0.43307056439375191</v>
      </c>
      <c r="AJ12" s="3">
        <v>0</v>
      </c>
      <c r="AL12" t="str">
        <f t="shared" si="0"/>
        <v>FEMENINO</v>
      </c>
      <c r="AM12" s="3">
        <v>957</v>
      </c>
    </row>
    <row r="13" spans="1:39" x14ac:dyDescent="0.35">
      <c r="A13" s="3">
        <v>292</v>
      </c>
      <c r="B13" s="3">
        <v>1</v>
      </c>
      <c r="C13" s="3">
        <v>1</v>
      </c>
      <c r="D13" s="3">
        <v>643</v>
      </c>
      <c r="E13" s="3">
        <v>523595</v>
      </c>
      <c r="F13" s="3">
        <v>3</v>
      </c>
      <c r="H13" s="3">
        <v>0</v>
      </c>
      <c r="I13" s="3">
        <v>723</v>
      </c>
      <c r="J13" s="3">
        <v>274</v>
      </c>
      <c r="K13" s="3">
        <v>1</v>
      </c>
      <c r="L13" s="3">
        <v>274</v>
      </c>
      <c r="Q13" s="3" t="s">
        <v>74</v>
      </c>
      <c r="R13" s="3">
        <f>MAX(D:D)</f>
        <v>993</v>
      </c>
      <c r="AJ13" s="3">
        <v>1</v>
      </c>
      <c r="AL13" t="str">
        <f t="shared" si="0"/>
        <v>MASCULINO</v>
      </c>
      <c r="AM13" s="3">
        <v>643</v>
      </c>
    </row>
    <row r="14" spans="1:39" x14ac:dyDescent="0.35">
      <c r="A14" s="3">
        <v>293</v>
      </c>
      <c r="B14" s="3">
        <v>0</v>
      </c>
      <c r="C14" s="3">
        <v>0</v>
      </c>
      <c r="D14" s="3">
        <v>66</v>
      </c>
      <c r="E14" s="3">
        <v>503085</v>
      </c>
      <c r="F14" s="3">
        <v>3</v>
      </c>
      <c r="H14" s="3">
        <v>0</v>
      </c>
      <c r="I14" s="3">
        <v>338</v>
      </c>
      <c r="J14" s="3">
        <v>825</v>
      </c>
      <c r="K14" s="3">
        <v>1</v>
      </c>
      <c r="L14" s="3">
        <v>825</v>
      </c>
      <c r="N14" s="3" t="s">
        <v>75</v>
      </c>
      <c r="O14" s="11">
        <f>AVERAGEIFS(D:D,B:B,1)</f>
        <v>466.76315789473682</v>
      </c>
      <c r="AJ14" s="3">
        <v>0</v>
      </c>
      <c r="AL14" t="str">
        <f t="shared" si="0"/>
        <v>FEMENINO</v>
      </c>
      <c r="AM14" s="3">
        <v>66</v>
      </c>
    </row>
    <row r="15" spans="1:39" x14ac:dyDescent="0.35">
      <c r="A15" s="3">
        <v>294</v>
      </c>
      <c r="B15" s="3">
        <v>1</v>
      </c>
      <c r="C15" s="3">
        <v>1</v>
      </c>
      <c r="D15" s="3">
        <v>466</v>
      </c>
      <c r="E15" s="3">
        <v>562798</v>
      </c>
      <c r="F15" s="3">
        <v>3</v>
      </c>
      <c r="H15" s="3">
        <v>0</v>
      </c>
      <c r="I15" s="3">
        <v>496</v>
      </c>
      <c r="J15" s="3">
        <v>523</v>
      </c>
      <c r="K15" s="3">
        <v>1</v>
      </c>
      <c r="L15" s="3">
        <v>523</v>
      </c>
      <c r="N15" s="3" t="s">
        <v>76</v>
      </c>
      <c r="O15" s="11">
        <f>AVERAGEIFS(D:D,B:B,0)</f>
        <v>498.15625</v>
      </c>
      <c r="AJ15" s="3">
        <v>1</v>
      </c>
      <c r="AL15" t="str">
        <f t="shared" si="0"/>
        <v>MASCULINO</v>
      </c>
      <c r="AM15" s="3">
        <v>466</v>
      </c>
    </row>
    <row r="16" spans="1:39" x14ac:dyDescent="0.35">
      <c r="A16" s="3">
        <v>295</v>
      </c>
      <c r="B16" s="3">
        <v>1</v>
      </c>
      <c r="C16" s="3">
        <v>1</v>
      </c>
      <c r="D16" s="3">
        <v>333</v>
      </c>
      <c r="E16" s="3">
        <v>354930</v>
      </c>
      <c r="F16" s="3">
        <v>4</v>
      </c>
      <c r="H16" s="3">
        <v>0</v>
      </c>
      <c r="I16" s="3">
        <v>426</v>
      </c>
      <c r="J16" s="3">
        <v>495</v>
      </c>
      <c r="K16" s="3">
        <v>1</v>
      </c>
      <c r="L16" s="3">
        <v>495</v>
      </c>
      <c r="Q16" s="3" t="s">
        <v>56</v>
      </c>
      <c r="R16" s="3" t="s">
        <v>53</v>
      </c>
      <c r="S16" s="3" t="s">
        <v>52</v>
      </c>
      <c r="AJ16" s="3">
        <v>1</v>
      </c>
      <c r="AL16" t="str">
        <f t="shared" si="0"/>
        <v>MASCULINO</v>
      </c>
      <c r="AM16" s="3">
        <v>333</v>
      </c>
    </row>
    <row r="17" spans="1:39" x14ac:dyDescent="0.35">
      <c r="A17" s="3">
        <v>296</v>
      </c>
      <c r="B17" s="3">
        <v>0</v>
      </c>
      <c r="C17" s="3">
        <v>0</v>
      </c>
      <c r="D17" s="3">
        <v>928</v>
      </c>
      <c r="E17" s="3">
        <v>371390</v>
      </c>
      <c r="F17" s="3">
        <v>3</v>
      </c>
      <c r="H17" s="3">
        <v>0</v>
      </c>
      <c r="I17" s="3">
        <v>558</v>
      </c>
      <c r="J17" s="3">
        <v>530</v>
      </c>
      <c r="K17" s="3">
        <v>1</v>
      </c>
      <c r="L17" s="3">
        <v>530</v>
      </c>
      <c r="Q17" s="3" t="s">
        <v>66</v>
      </c>
      <c r="R17" s="3">
        <f>MIN(I:I)</f>
        <v>66</v>
      </c>
      <c r="S17" s="3">
        <f>MIN(J:J)</f>
        <v>11</v>
      </c>
      <c r="AJ17" s="3">
        <v>0</v>
      </c>
      <c r="AL17" t="str">
        <f t="shared" si="0"/>
        <v>FEMENINO</v>
      </c>
      <c r="AM17" s="3">
        <v>928</v>
      </c>
    </row>
    <row r="18" spans="1:39" x14ac:dyDescent="0.35">
      <c r="A18" s="3">
        <v>297</v>
      </c>
      <c r="B18" s="3">
        <v>0</v>
      </c>
      <c r="C18" s="3">
        <v>0</v>
      </c>
      <c r="D18" s="3">
        <v>578</v>
      </c>
      <c r="E18" s="3">
        <v>485926</v>
      </c>
      <c r="F18" s="3">
        <v>3</v>
      </c>
      <c r="H18" s="3">
        <v>0</v>
      </c>
      <c r="I18" s="3">
        <v>833</v>
      </c>
      <c r="J18" s="3">
        <v>711</v>
      </c>
      <c r="K18" s="3">
        <v>1</v>
      </c>
      <c r="L18" s="3">
        <v>711</v>
      </c>
      <c r="Q18" s="3" t="s">
        <v>68</v>
      </c>
      <c r="R18" s="3">
        <f>QUARTILE(I:I,1)</f>
        <v>347.75</v>
      </c>
      <c r="S18" s="3">
        <f>QUARTILE(J:J,1)</f>
        <v>289.25</v>
      </c>
      <c r="AJ18" s="3">
        <v>0</v>
      </c>
      <c r="AL18" t="str">
        <f t="shared" si="0"/>
        <v>FEMENINO</v>
      </c>
      <c r="AM18" s="3">
        <v>578</v>
      </c>
    </row>
    <row r="19" spans="1:39" x14ac:dyDescent="0.35">
      <c r="A19" s="3">
        <v>298</v>
      </c>
      <c r="B19" s="3">
        <v>1</v>
      </c>
      <c r="C19" s="3">
        <v>1</v>
      </c>
      <c r="D19" s="3">
        <v>515</v>
      </c>
      <c r="E19" s="3">
        <v>303537</v>
      </c>
      <c r="F19" s="3">
        <v>4</v>
      </c>
      <c r="H19" s="3">
        <v>0</v>
      </c>
      <c r="I19" s="3">
        <v>398</v>
      </c>
      <c r="J19" s="3">
        <v>285</v>
      </c>
      <c r="K19" s="3">
        <v>1</v>
      </c>
      <c r="L19" s="3">
        <v>285</v>
      </c>
      <c r="Q19" s="3" t="s">
        <v>70</v>
      </c>
      <c r="R19" s="3">
        <f>QUARTILE(I:I,2)</f>
        <v>466</v>
      </c>
      <c r="S19" s="3">
        <f>QUARTILE(J:J,2)</f>
        <v>460</v>
      </c>
      <c r="AJ19" s="3">
        <v>1</v>
      </c>
      <c r="AL19" t="str">
        <f t="shared" si="0"/>
        <v>MASCULINO</v>
      </c>
      <c r="AM19" s="3">
        <v>515</v>
      </c>
    </row>
    <row r="20" spans="1:39" x14ac:dyDescent="0.35">
      <c r="A20" s="3">
        <v>299</v>
      </c>
      <c r="B20" s="3">
        <v>0</v>
      </c>
      <c r="C20" s="3">
        <v>0</v>
      </c>
      <c r="D20" s="3">
        <v>391</v>
      </c>
      <c r="E20" s="3">
        <v>634971</v>
      </c>
      <c r="F20" s="3">
        <v>4</v>
      </c>
      <c r="H20" s="3">
        <v>0</v>
      </c>
      <c r="I20" s="3">
        <v>395</v>
      </c>
      <c r="J20" s="3">
        <v>993</v>
      </c>
      <c r="K20" s="3">
        <v>1</v>
      </c>
      <c r="L20" s="3">
        <v>993</v>
      </c>
      <c r="Q20" s="3" t="s">
        <v>72</v>
      </c>
      <c r="R20" s="3">
        <f>QUARTILE(I:I,3)</f>
        <v>639</v>
      </c>
      <c r="S20" s="3">
        <f>QUARTILE(J:J,3)</f>
        <v>627.75</v>
      </c>
      <c r="AJ20" s="3">
        <v>0</v>
      </c>
      <c r="AL20" t="str">
        <f t="shared" si="0"/>
        <v>FEMENINO</v>
      </c>
      <c r="AM20" s="3">
        <v>391</v>
      </c>
    </row>
    <row r="21" spans="1:39" x14ac:dyDescent="0.35">
      <c r="A21" s="3">
        <v>300</v>
      </c>
      <c r="B21" s="3">
        <v>1</v>
      </c>
      <c r="C21" s="3">
        <v>1</v>
      </c>
      <c r="D21" s="3">
        <v>647</v>
      </c>
      <c r="E21" s="3">
        <v>465813</v>
      </c>
      <c r="F21" s="3">
        <v>3</v>
      </c>
      <c r="H21" s="3">
        <v>0</v>
      </c>
      <c r="I21" s="3">
        <v>650</v>
      </c>
      <c r="J21" s="3">
        <v>171</v>
      </c>
      <c r="K21" s="3">
        <v>1</v>
      </c>
      <c r="L21" s="3">
        <v>171</v>
      </c>
      <c r="Q21" s="3" t="s">
        <v>74</v>
      </c>
      <c r="R21" s="3">
        <f>MAX(I:I)</f>
        <v>983</v>
      </c>
      <c r="S21" s="3">
        <f>MAX(J:J)</f>
        <v>993</v>
      </c>
      <c r="AJ21" s="3">
        <v>1</v>
      </c>
      <c r="AL21" t="str">
        <f t="shared" si="0"/>
        <v>MASCULINO</v>
      </c>
      <c r="AM21" s="3">
        <v>647</v>
      </c>
    </row>
    <row r="22" spans="1:39" x14ac:dyDescent="0.35">
      <c r="A22" s="3">
        <v>301</v>
      </c>
      <c r="B22" s="3">
        <v>0</v>
      </c>
      <c r="C22" s="3">
        <v>0</v>
      </c>
      <c r="D22" s="3">
        <v>525</v>
      </c>
      <c r="E22" s="3">
        <v>329930</v>
      </c>
      <c r="F22" s="3">
        <v>4</v>
      </c>
      <c r="H22" s="3">
        <v>0</v>
      </c>
      <c r="I22" s="3">
        <v>923</v>
      </c>
      <c r="J22" s="3">
        <v>464</v>
      </c>
      <c r="K22" s="3">
        <v>1</v>
      </c>
      <c r="L22" s="3">
        <v>464</v>
      </c>
      <c r="AJ22" s="3">
        <v>0</v>
      </c>
      <c r="AL22" t="str">
        <f t="shared" si="0"/>
        <v>FEMENINO</v>
      </c>
      <c r="AM22" s="3">
        <v>525</v>
      </c>
    </row>
    <row r="23" spans="1:39" x14ac:dyDescent="0.35">
      <c r="A23" s="3">
        <v>302</v>
      </c>
      <c r="B23" s="3">
        <v>0</v>
      </c>
      <c r="C23" s="3">
        <v>0</v>
      </c>
      <c r="D23" s="3">
        <v>116</v>
      </c>
      <c r="E23" s="3">
        <v>436033</v>
      </c>
      <c r="F23" s="3">
        <v>3</v>
      </c>
      <c r="H23" s="3">
        <v>0</v>
      </c>
      <c r="I23" s="3">
        <v>463</v>
      </c>
      <c r="J23" s="3">
        <v>414</v>
      </c>
      <c r="K23" s="3">
        <v>1</v>
      </c>
      <c r="L23" s="3">
        <v>414</v>
      </c>
      <c r="AJ23" s="3">
        <v>0</v>
      </c>
      <c r="AL23" t="str">
        <f t="shared" si="0"/>
        <v>FEMENINO</v>
      </c>
      <c r="AM23" s="3">
        <v>116</v>
      </c>
    </row>
    <row r="24" spans="1:39" x14ac:dyDescent="0.35">
      <c r="A24" s="3">
        <v>303</v>
      </c>
      <c r="B24" s="3">
        <v>0</v>
      </c>
      <c r="C24" s="3">
        <v>0</v>
      </c>
      <c r="D24" s="3">
        <v>723</v>
      </c>
      <c r="E24" s="3">
        <v>537431</v>
      </c>
      <c r="F24" s="3">
        <v>3</v>
      </c>
      <c r="H24" s="3">
        <v>0</v>
      </c>
      <c r="I24" s="3">
        <v>259</v>
      </c>
      <c r="J24" s="3">
        <v>370</v>
      </c>
      <c r="K24" s="3">
        <v>1</v>
      </c>
      <c r="L24" s="3">
        <v>370</v>
      </c>
      <c r="AJ24" s="3">
        <v>0</v>
      </c>
      <c r="AL24" t="str">
        <f t="shared" si="0"/>
        <v>FEMENINO</v>
      </c>
      <c r="AM24" s="3">
        <v>723</v>
      </c>
    </row>
    <row r="25" spans="1:39" x14ac:dyDescent="0.35">
      <c r="A25" s="3">
        <v>304</v>
      </c>
      <c r="B25" s="3">
        <v>1</v>
      </c>
      <c r="C25" s="3">
        <v>1</v>
      </c>
      <c r="D25" s="3">
        <v>274</v>
      </c>
      <c r="E25" s="3">
        <v>495696</v>
      </c>
      <c r="F25" s="3">
        <v>3</v>
      </c>
      <c r="H25" s="3">
        <v>0</v>
      </c>
      <c r="I25" s="3">
        <v>425</v>
      </c>
      <c r="J25" s="3">
        <v>200</v>
      </c>
      <c r="K25" s="3">
        <v>1</v>
      </c>
      <c r="L25" s="3">
        <v>200</v>
      </c>
      <c r="AJ25" s="3">
        <v>1</v>
      </c>
      <c r="AL25" t="str">
        <f t="shared" si="0"/>
        <v>MASCULINO</v>
      </c>
      <c r="AM25" s="3">
        <v>274</v>
      </c>
    </row>
    <row r="26" spans="1:39" x14ac:dyDescent="0.35">
      <c r="A26" s="3">
        <v>305</v>
      </c>
      <c r="B26" s="3">
        <v>0</v>
      </c>
      <c r="C26" s="3">
        <v>0</v>
      </c>
      <c r="D26" s="3">
        <v>338</v>
      </c>
      <c r="E26" s="3">
        <v>591597</v>
      </c>
      <c r="F26" s="3">
        <v>3</v>
      </c>
      <c r="H26" s="3">
        <v>0</v>
      </c>
      <c r="I26" s="3">
        <v>526</v>
      </c>
      <c r="J26" s="3">
        <v>513</v>
      </c>
      <c r="K26" s="3">
        <v>1</v>
      </c>
      <c r="L26" s="3">
        <v>513</v>
      </c>
      <c r="AJ26" s="3">
        <v>0</v>
      </c>
      <c r="AL26" t="str">
        <f t="shared" si="0"/>
        <v>FEMENINO</v>
      </c>
      <c r="AM26" s="3">
        <v>338</v>
      </c>
    </row>
    <row r="27" spans="1:39" x14ac:dyDescent="0.35">
      <c r="A27" s="3">
        <v>306</v>
      </c>
      <c r="B27" s="3">
        <v>1</v>
      </c>
      <c r="C27" s="3">
        <v>1</v>
      </c>
      <c r="D27" s="3">
        <v>825</v>
      </c>
      <c r="E27" s="3">
        <v>417169</v>
      </c>
      <c r="F27" s="3">
        <v>4</v>
      </c>
      <c r="H27" s="3">
        <v>0</v>
      </c>
      <c r="I27" s="3">
        <v>337</v>
      </c>
      <c r="J27" s="3">
        <v>290</v>
      </c>
      <c r="K27" s="3">
        <v>1</v>
      </c>
      <c r="L27" s="3">
        <v>290</v>
      </c>
      <c r="AJ27" s="3">
        <v>1</v>
      </c>
      <c r="AL27" t="str">
        <f t="shared" si="0"/>
        <v>MASCULINO</v>
      </c>
      <c r="AM27" s="3">
        <v>825</v>
      </c>
    </row>
    <row r="28" spans="1:39" x14ac:dyDescent="0.35">
      <c r="A28" s="3">
        <v>307</v>
      </c>
      <c r="B28" s="3">
        <v>1</v>
      </c>
      <c r="C28" s="3">
        <v>1</v>
      </c>
      <c r="D28" s="3">
        <v>523</v>
      </c>
      <c r="E28" s="3">
        <v>514312</v>
      </c>
      <c r="F28" s="3">
        <v>4</v>
      </c>
      <c r="H28" s="3">
        <v>0</v>
      </c>
      <c r="I28" s="3">
        <v>469</v>
      </c>
      <c r="J28" s="3">
        <v>613</v>
      </c>
      <c r="K28" s="3">
        <v>1</v>
      </c>
      <c r="L28" s="3">
        <v>613</v>
      </c>
      <c r="AJ28" s="3">
        <v>1</v>
      </c>
      <c r="AL28" t="str">
        <f t="shared" si="0"/>
        <v>MASCULINO</v>
      </c>
      <c r="AM28" s="3">
        <v>523</v>
      </c>
    </row>
    <row r="29" spans="1:39" x14ac:dyDescent="0.35">
      <c r="A29" s="3">
        <v>308</v>
      </c>
      <c r="B29" s="3">
        <v>0</v>
      </c>
      <c r="C29" s="3">
        <v>0</v>
      </c>
      <c r="D29" s="3">
        <v>496</v>
      </c>
      <c r="E29" s="3">
        <v>339501</v>
      </c>
      <c r="F29" s="3">
        <v>3</v>
      </c>
      <c r="H29" s="3">
        <v>0</v>
      </c>
      <c r="I29" s="3">
        <v>330</v>
      </c>
      <c r="J29" s="3">
        <v>485</v>
      </c>
      <c r="K29" s="3">
        <v>1</v>
      </c>
      <c r="L29" s="3">
        <v>485</v>
      </c>
      <c r="V29" s="1">
        <v>0</v>
      </c>
      <c r="W29" s="1">
        <v>100</v>
      </c>
      <c r="X29" s="2" t="str">
        <f>CONCATENATE("( ",V29," - ",W29," ]")</f>
        <v>( 0 - 100 ]</v>
      </c>
      <c r="Y29" s="1">
        <f>COUNTIFS(D:D,"&gt;"&amp;V29,D:D,"&lt;="&amp;W29)</f>
        <v>3</v>
      </c>
      <c r="AJ29" s="3">
        <v>0</v>
      </c>
      <c r="AL29" t="str">
        <f t="shared" si="0"/>
        <v>FEMENINO</v>
      </c>
      <c r="AM29" s="3">
        <v>496</v>
      </c>
    </row>
    <row r="30" spans="1:39" x14ac:dyDescent="0.35">
      <c r="A30" s="3">
        <v>309</v>
      </c>
      <c r="B30" s="3">
        <v>1</v>
      </c>
      <c r="C30" s="3">
        <v>1</v>
      </c>
      <c r="D30" s="3">
        <v>495</v>
      </c>
      <c r="E30" s="3">
        <v>446927</v>
      </c>
      <c r="F30" s="3">
        <v>3</v>
      </c>
      <c r="H30" s="3">
        <v>0</v>
      </c>
      <c r="I30" s="3">
        <v>645</v>
      </c>
      <c r="J30" s="3">
        <v>402</v>
      </c>
      <c r="K30" s="3">
        <v>1</v>
      </c>
      <c r="L30" s="3">
        <v>402</v>
      </c>
      <c r="V30" s="1">
        <v>100</v>
      </c>
      <c r="W30" s="1">
        <v>200</v>
      </c>
      <c r="X30" s="2" t="str">
        <f t="shared" ref="X30:X38" si="1">CONCATENATE("( ",V30," - ",W30," ]")</f>
        <v>( 100 - 200 ]</v>
      </c>
      <c r="Y30" s="1">
        <f t="shared" ref="Y30:Y38" si="2">COUNTIFS(D:D,"&gt;"&amp;V30,D:D,"&lt;="&amp;W30)</f>
        <v>7</v>
      </c>
      <c r="AJ30" s="3">
        <v>1</v>
      </c>
      <c r="AL30" t="str">
        <f t="shared" si="0"/>
        <v>MASCULINO</v>
      </c>
      <c r="AM30" s="3">
        <v>495</v>
      </c>
    </row>
    <row r="31" spans="1:39" x14ac:dyDescent="0.35">
      <c r="A31" s="3">
        <v>310</v>
      </c>
      <c r="B31" s="3">
        <v>1</v>
      </c>
      <c r="C31" s="3">
        <v>1</v>
      </c>
      <c r="D31" s="3">
        <v>530</v>
      </c>
      <c r="E31" s="3">
        <v>422781</v>
      </c>
      <c r="F31" s="3">
        <v>5</v>
      </c>
      <c r="H31" s="3">
        <v>0</v>
      </c>
      <c r="I31" s="3">
        <v>658</v>
      </c>
      <c r="J31" s="3">
        <v>566</v>
      </c>
      <c r="K31" s="3">
        <v>1</v>
      </c>
      <c r="L31" s="3">
        <v>566</v>
      </c>
      <c r="V31" s="1">
        <v>200</v>
      </c>
      <c r="W31" s="1">
        <v>300</v>
      </c>
      <c r="X31" s="2" t="str">
        <f t="shared" si="1"/>
        <v>( 200 - 300 ]</v>
      </c>
      <c r="Y31" s="1">
        <f t="shared" si="2"/>
        <v>22</v>
      </c>
      <c r="AJ31" s="3">
        <v>1</v>
      </c>
      <c r="AL31" t="str">
        <f t="shared" si="0"/>
        <v>MASCULINO</v>
      </c>
      <c r="AM31" s="3">
        <v>530</v>
      </c>
    </row>
    <row r="32" spans="1:39" x14ac:dyDescent="0.35">
      <c r="A32" s="3">
        <v>311</v>
      </c>
      <c r="B32" s="3">
        <v>0</v>
      </c>
      <c r="C32" s="3">
        <v>0</v>
      </c>
      <c r="D32" s="3">
        <v>426</v>
      </c>
      <c r="E32" s="3">
        <v>357866</v>
      </c>
      <c r="F32" s="3">
        <v>3</v>
      </c>
      <c r="H32" s="3">
        <v>0</v>
      </c>
      <c r="I32" s="3">
        <v>692</v>
      </c>
      <c r="J32" s="3">
        <v>304</v>
      </c>
      <c r="K32" s="3">
        <v>1</v>
      </c>
      <c r="L32" s="3">
        <v>304</v>
      </c>
      <c r="V32" s="1">
        <v>300</v>
      </c>
      <c r="W32" s="1">
        <v>400</v>
      </c>
      <c r="X32" s="2" t="str">
        <f t="shared" si="1"/>
        <v>( 300 - 400 ]</v>
      </c>
      <c r="Y32" s="1">
        <f t="shared" si="2"/>
        <v>21</v>
      </c>
      <c r="AJ32" s="3">
        <v>0</v>
      </c>
      <c r="AL32" t="str">
        <f t="shared" si="0"/>
        <v>FEMENINO</v>
      </c>
      <c r="AM32" s="3">
        <v>426</v>
      </c>
    </row>
    <row r="33" spans="1:39" x14ac:dyDescent="0.35">
      <c r="A33" s="3">
        <v>312</v>
      </c>
      <c r="B33" s="3">
        <v>0</v>
      </c>
      <c r="C33" s="3">
        <v>0</v>
      </c>
      <c r="D33" s="3">
        <v>558</v>
      </c>
      <c r="E33" s="3">
        <v>663870</v>
      </c>
      <c r="F33" s="3">
        <v>6</v>
      </c>
      <c r="H33" s="3">
        <v>0</v>
      </c>
      <c r="I33" s="3">
        <v>551</v>
      </c>
      <c r="J33" s="3">
        <v>758</v>
      </c>
      <c r="K33" s="3">
        <v>1</v>
      </c>
      <c r="L33" s="3">
        <v>758</v>
      </c>
      <c r="V33" s="1">
        <v>400</v>
      </c>
      <c r="W33" s="1">
        <v>500</v>
      </c>
      <c r="X33" s="2" t="str">
        <f t="shared" si="1"/>
        <v>( 400 - 500 ]</v>
      </c>
      <c r="Y33" s="1">
        <f t="shared" si="2"/>
        <v>28</v>
      </c>
      <c r="AJ33" s="3">
        <v>0</v>
      </c>
      <c r="AL33" t="str">
        <f t="shared" si="0"/>
        <v>FEMENINO</v>
      </c>
      <c r="AM33" s="3">
        <v>558</v>
      </c>
    </row>
    <row r="34" spans="1:39" x14ac:dyDescent="0.35">
      <c r="A34" s="3">
        <v>313</v>
      </c>
      <c r="B34" s="3">
        <v>0</v>
      </c>
      <c r="C34" s="3">
        <v>0</v>
      </c>
      <c r="D34" s="3">
        <v>833</v>
      </c>
      <c r="E34" s="3">
        <v>500623</v>
      </c>
      <c r="F34" s="3">
        <v>2</v>
      </c>
      <c r="H34" s="3">
        <v>0</v>
      </c>
      <c r="I34" s="3">
        <v>240</v>
      </c>
      <c r="J34" s="3">
        <v>409</v>
      </c>
      <c r="K34" s="3">
        <v>1</v>
      </c>
      <c r="L34" s="3">
        <v>409</v>
      </c>
      <c r="V34" s="1">
        <v>500</v>
      </c>
      <c r="W34" s="1">
        <v>600</v>
      </c>
      <c r="X34" s="2" t="str">
        <f t="shared" si="1"/>
        <v>( 500 - 600 ]</v>
      </c>
      <c r="Y34" s="1">
        <f t="shared" si="2"/>
        <v>18</v>
      </c>
      <c r="AJ34" s="3">
        <v>0</v>
      </c>
      <c r="AL34" t="str">
        <f t="shared" si="0"/>
        <v>FEMENINO</v>
      </c>
      <c r="AM34" s="3">
        <v>833</v>
      </c>
    </row>
    <row r="35" spans="1:39" x14ac:dyDescent="0.35">
      <c r="A35" s="3">
        <v>314</v>
      </c>
      <c r="B35" s="3">
        <v>1</v>
      </c>
      <c r="C35" s="3">
        <v>1</v>
      </c>
      <c r="D35" s="3">
        <v>711</v>
      </c>
      <c r="E35" s="3">
        <v>423136</v>
      </c>
      <c r="F35" s="3">
        <v>3</v>
      </c>
      <c r="H35" s="3">
        <v>0</v>
      </c>
      <c r="I35" s="3">
        <v>379</v>
      </c>
      <c r="J35" s="3">
        <v>633</v>
      </c>
      <c r="K35" s="3">
        <v>1</v>
      </c>
      <c r="L35" s="3">
        <v>633</v>
      </c>
      <c r="V35" s="1">
        <v>600</v>
      </c>
      <c r="W35" s="1">
        <v>700</v>
      </c>
      <c r="X35" s="2" t="str">
        <f t="shared" si="1"/>
        <v>( 600 - 700 ]</v>
      </c>
      <c r="Y35" s="1">
        <f t="shared" si="2"/>
        <v>16</v>
      </c>
      <c r="AJ35" s="3">
        <v>1</v>
      </c>
      <c r="AL35" t="str">
        <f t="shared" si="0"/>
        <v>MASCULINO</v>
      </c>
      <c r="AM35" s="3">
        <v>711</v>
      </c>
    </row>
    <row r="36" spans="1:39" x14ac:dyDescent="0.35">
      <c r="A36" s="3">
        <v>315</v>
      </c>
      <c r="B36" s="3">
        <v>1</v>
      </c>
      <c r="C36" s="3">
        <v>1</v>
      </c>
      <c r="D36" s="3">
        <v>285</v>
      </c>
      <c r="E36" s="3">
        <v>498499</v>
      </c>
      <c r="F36" s="3">
        <v>4</v>
      </c>
      <c r="H36" s="3">
        <v>0</v>
      </c>
      <c r="I36" s="3">
        <v>402</v>
      </c>
      <c r="J36" s="3">
        <v>543</v>
      </c>
      <c r="K36" s="3">
        <v>1</v>
      </c>
      <c r="L36" s="3">
        <v>543</v>
      </c>
      <c r="V36" s="1">
        <v>700</v>
      </c>
      <c r="W36" s="1">
        <v>800</v>
      </c>
      <c r="X36" s="2" t="str">
        <f t="shared" si="1"/>
        <v>( 700 - 800 ]</v>
      </c>
      <c r="Y36" s="1">
        <f t="shared" si="2"/>
        <v>16</v>
      </c>
      <c r="AJ36" s="3">
        <v>1</v>
      </c>
      <c r="AL36" t="str">
        <f t="shared" si="0"/>
        <v>MASCULINO</v>
      </c>
      <c r="AM36" s="3">
        <v>285</v>
      </c>
    </row>
    <row r="37" spans="1:39" x14ac:dyDescent="0.35">
      <c r="A37" s="3">
        <v>316</v>
      </c>
      <c r="B37" s="3">
        <v>1</v>
      </c>
      <c r="C37" s="3">
        <v>1</v>
      </c>
      <c r="D37" s="3">
        <v>993</v>
      </c>
      <c r="E37" s="3">
        <v>513852</v>
      </c>
      <c r="F37" s="3">
        <v>4</v>
      </c>
      <c r="H37" s="3">
        <v>0</v>
      </c>
      <c r="I37" s="3">
        <v>385</v>
      </c>
      <c r="J37" s="3">
        <v>409</v>
      </c>
      <c r="K37" s="3">
        <v>1</v>
      </c>
      <c r="L37" s="3">
        <v>409</v>
      </c>
      <c r="V37" s="1">
        <v>800</v>
      </c>
      <c r="W37" s="1">
        <v>900</v>
      </c>
      <c r="X37" s="2" t="str">
        <f t="shared" si="1"/>
        <v>( 800 - 900 ]</v>
      </c>
      <c r="Y37" s="1">
        <f t="shared" si="2"/>
        <v>4</v>
      </c>
      <c r="AJ37" s="3">
        <v>1</v>
      </c>
      <c r="AL37" t="str">
        <f t="shared" si="0"/>
        <v>MASCULINO</v>
      </c>
      <c r="AM37" s="3">
        <v>993</v>
      </c>
    </row>
    <row r="38" spans="1:39" x14ac:dyDescent="0.35">
      <c r="A38" s="3">
        <v>317</v>
      </c>
      <c r="B38" s="3">
        <v>1</v>
      </c>
      <c r="C38" s="3">
        <v>1</v>
      </c>
      <c r="D38" s="3">
        <v>171</v>
      </c>
      <c r="E38" s="3">
        <v>393008</v>
      </c>
      <c r="F38" s="3">
        <v>4</v>
      </c>
      <c r="H38" s="3">
        <v>0</v>
      </c>
      <c r="I38" s="3">
        <v>607</v>
      </c>
      <c r="J38" s="3">
        <v>713</v>
      </c>
      <c r="K38" s="3">
        <v>1</v>
      </c>
      <c r="L38" s="3">
        <v>713</v>
      </c>
      <c r="V38" s="1">
        <v>900</v>
      </c>
      <c r="W38" s="1">
        <v>1000</v>
      </c>
      <c r="X38" s="2" t="str">
        <f t="shared" si="1"/>
        <v>( 900 - 1000 ]</v>
      </c>
      <c r="Y38" s="1">
        <f t="shared" si="2"/>
        <v>5</v>
      </c>
      <c r="AJ38" s="3">
        <v>1</v>
      </c>
      <c r="AL38" t="str">
        <f t="shared" si="0"/>
        <v>MASCULINO</v>
      </c>
      <c r="AM38" s="3">
        <v>171</v>
      </c>
    </row>
    <row r="39" spans="1:39" x14ac:dyDescent="0.35">
      <c r="A39" s="3">
        <v>318</v>
      </c>
      <c r="B39" s="3">
        <v>1</v>
      </c>
      <c r="C39" s="3">
        <v>1</v>
      </c>
      <c r="D39" s="3">
        <v>464</v>
      </c>
      <c r="E39" s="3">
        <v>314214</v>
      </c>
      <c r="F39" s="3">
        <v>3</v>
      </c>
      <c r="H39" s="3">
        <v>0</v>
      </c>
      <c r="I39" s="3">
        <v>795</v>
      </c>
      <c r="J39" s="3">
        <v>738</v>
      </c>
      <c r="K39" s="3">
        <v>1</v>
      </c>
      <c r="L39" s="3">
        <v>738</v>
      </c>
      <c r="X39" s="1" t="s">
        <v>64</v>
      </c>
      <c r="Y39" s="1">
        <f>SUM(Y29:Y38)</f>
        <v>140</v>
      </c>
      <c r="AJ39" s="3">
        <v>1</v>
      </c>
      <c r="AL39" t="str">
        <f t="shared" si="0"/>
        <v>MASCULINO</v>
      </c>
      <c r="AM39" s="3">
        <v>464</v>
      </c>
    </row>
    <row r="40" spans="1:39" x14ac:dyDescent="0.35">
      <c r="A40" s="3">
        <v>319</v>
      </c>
      <c r="B40" s="3">
        <v>0</v>
      </c>
      <c r="C40" s="3">
        <v>0</v>
      </c>
      <c r="D40" s="3">
        <v>398</v>
      </c>
      <c r="E40" s="3">
        <v>671576</v>
      </c>
      <c r="F40" s="3">
        <v>3</v>
      </c>
      <c r="H40" s="3">
        <v>0</v>
      </c>
      <c r="I40" s="3">
        <v>625</v>
      </c>
      <c r="J40" s="3">
        <v>559</v>
      </c>
      <c r="K40" s="3">
        <v>1</v>
      </c>
      <c r="L40" s="3">
        <v>559</v>
      </c>
      <c r="AJ40" s="3">
        <v>0</v>
      </c>
      <c r="AL40" t="str">
        <f t="shared" si="0"/>
        <v>FEMENINO</v>
      </c>
      <c r="AM40" s="3">
        <v>398</v>
      </c>
    </row>
    <row r="41" spans="1:39" x14ac:dyDescent="0.35">
      <c r="A41" s="3">
        <v>320</v>
      </c>
      <c r="B41" s="3">
        <v>1</v>
      </c>
      <c r="C41" s="3">
        <v>1</v>
      </c>
      <c r="D41" s="3">
        <v>414</v>
      </c>
      <c r="E41" s="3">
        <v>378404</v>
      </c>
      <c r="F41" s="3">
        <v>2</v>
      </c>
      <c r="H41" s="3">
        <v>0</v>
      </c>
      <c r="I41" s="3">
        <v>286</v>
      </c>
      <c r="J41" s="3">
        <v>398</v>
      </c>
      <c r="K41" s="3">
        <v>1</v>
      </c>
      <c r="L41" s="3">
        <v>398</v>
      </c>
      <c r="AJ41" s="3">
        <v>1</v>
      </c>
      <c r="AL41" t="str">
        <f t="shared" si="0"/>
        <v>MASCULINO</v>
      </c>
      <c r="AM41" s="3">
        <v>414</v>
      </c>
    </row>
    <row r="42" spans="1:39" x14ac:dyDescent="0.35">
      <c r="A42" s="3">
        <v>321</v>
      </c>
      <c r="B42" s="3">
        <v>1</v>
      </c>
      <c r="C42" s="3">
        <v>1</v>
      </c>
      <c r="D42" s="3">
        <v>370</v>
      </c>
      <c r="E42" s="3">
        <v>859668</v>
      </c>
      <c r="F42" s="3">
        <v>4</v>
      </c>
      <c r="H42" s="3">
        <v>0</v>
      </c>
      <c r="I42" s="3">
        <v>349</v>
      </c>
      <c r="J42" s="3">
        <v>372</v>
      </c>
      <c r="K42" s="3">
        <v>1</v>
      </c>
      <c r="L42" s="3">
        <v>372</v>
      </c>
      <c r="AJ42" s="3">
        <v>1</v>
      </c>
      <c r="AL42" t="str">
        <f t="shared" si="0"/>
        <v>MASCULINO</v>
      </c>
      <c r="AM42" s="3">
        <v>370</v>
      </c>
    </row>
    <row r="43" spans="1:39" x14ac:dyDescent="0.35">
      <c r="A43" s="3">
        <v>322</v>
      </c>
      <c r="B43" s="3">
        <v>0</v>
      </c>
      <c r="C43" s="3">
        <v>0</v>
      </c>
      <c r="D43" s="3">
        <v>395</v>
      </c>
      <c r="E43" s="3">
        <v>393431</v>
      </c>
      <c r="F43" s="3">
        <v>3</v>
      </c>
      <c r="H43" s="3">
        <v>0</v>
      </c>
      <c r="I43" s="3">
        <v>513</v>
      </c>
      <c r="J43" s="3">
        <v>384</v>
      </c>
      <c r="K43" s="3">
        <v>1</v>
      </c>
      <c r="L43" s="3">
        <v>384</v>
      </c>
      <c r="AJ43" s="3">
        <v>0</v>
      </c>
      <c r="AL43" t="str">
        <f t="shared" si="0"/>
        <v>FEMENINO</v>
      </c>
      <c r="AM43" s="3">
        <v>395</v>
      </c>
    </row>
    <row r="44" spans="1:39" x14ac:dyDescent="0.35">
      <c r="A44" s="3">
        <v>323</v>
      </c>
      <c r="B44" s="3">
        <v>1</v>
      </c>
      <c r="C44" s="3">
        <v>1</v>
      </c>
      <c r="D44" s="3">
        <v>200</v>
      </c>
      <c r="E44" s="3">
        <v>428295</v>
      </c>
      <c r="F44" s="3">
        <v>5</v>
      </c>
      <c r="H44" s="3">
        <v>0</v>
      </c>
      <c r="I44" s="3">
        <v>713</v>
      </c>
      <c r="J44" s="3">
        <v>810</v>
      </c>
      <c r="K44" s="3">
        <v>1</v>
      </c>
      <c r="L44" s="3">
        <v>810</v>
      </c>
      <c r="AJ44" s="3">
        <v>1</v>
      </c>
      <c r="AL44" t="str">
        <f t="shared" si="0"/>
        <v>MASCULINO</v>
      </c>
      <c r="AM44" s="3">
        <v>200</v>
      </c>
    </row>
    <row r="45" spans="1:39" x14ac:dyDescent="0.35">
      <c r="A45" s="3">
        <v>324</v>
      </c>
      <c r="B45" s="3">
        <v>1</v>
      </c>
      <c r="C45" s="3">
        <v>1</v>
      </c>
      <c r="D45" s="3">
        <v>513</v>
      </c>
      <c r="E45" s="3">
        <v>952362</v>
      </c>
      <c r="F45" s="3">
        <v>4</v>
      </c>
      <c r="H45" s="3">
        <v>0</v>
      </c>
      <c r="I45" s="3">
        <v>533</v>
      </c>
      <c r="J45" s="3">
        <v>272</v>
      </c>
      <c r="K45" s="3">
        <v>1</v>
      </c>
      <c r="L45" s="3">
        <v>272</v>
      </c>
      <c r="AJ45" s="3">
        <v>1</v>
      </c>
      <c r="AL45" t="str">
        <f t="shared" si="0"/>
        <v>MASCULINO</v>
      </c>
      <c r="AM45" s="3">
        <v>513</v>
      </c>
    </row>
    <row r="46" spans="1:39" x14ac:dyDescent="0.35">
      <c r="A46" s="3">
        <v>325</v>
      </c>
      <c r="B46" s="3">
        <v>0</v>
      </c>
      <c r="C46" s="3">
        <v>0</v>
      </c>
      <c r="D46" s="3">
        <v>650</v>
      </c>
      <c r="E46" s="3">
        <v>664086</v>
      </c>
      <c r="F46" s="3">
        <v>3</v>
      </c>
      <c r="H46" s="3">
        <v>0</v>
      </c>
      <c r="I46" s="3">
        <v>344</v>
      </c>
      <c r="J46" s="3">
        <v>626</v>
      </c>
      <c r="K46" s="3">
        <v>1</v>
      </c>
      <c r="L46" s="3">
        <v>626</v>
      </c>
      <c r="AJ46" s="3">
        <v>0</v>
      </c>
      <c r="AL46" t="str">
        <f t="shared" si="0"/>
        <v>FEMENINO</v>
      </c>
      <c r="AM46" s="3">
        <v>650</v>
      </c>
    </row>
    <row r="47" spans="1:39" x14ac:dyDescent="0.35">
      <c r="A47" s="3">
        <v>326</v>
      </c>
      <c r="B47" s="3">
        <v>1</v>
      </c>
      <c r="C47" s="3">
        <v>1</v>
      </c>
      <c r="D47" s="3">
        <v>290</v>
      </c>
      <c r="E47" s="3">
        <v>692191</v>
      </c>
      <c r="F47" s="3">
        <v>2</v>
      </c>
      <c r="H47" s="3">
        <v>0</v>
      </c>
      <c r="I47" s="3">
        <v>285</v>
      </c>
      <c r="J47" s="3">
        <v>373</v>
      </c>
      <c r="K47" s="3">
        <v>1</v>
      </c>
      <c r="L47" s="3">
        <v>373</v>
      </c>
      <c r="AJ47" s="3">
        <v>1</v>
      </c>
      <c r="AL47" t="str">
        <f t="shared" si="0"/>
        <v>MASCULINO</v>
      </c>
      <c r="AM47" s="3">
        <v>290</v>
      </c>
    </row>
    <row r="48" spans="1:39" x14ac:dyDescent="0.35">
      <c r="A48" s="3">
        <v>327</v>
      </c>
      <c r="B48" s="3">
        <v>1</v>
      </c>
      <c r="C48" s="3">
        <v>1</v>
      </c>
      <c r="D48" s="3">
        <v>613</v>
      </c>
      <c r="E48" s="3">
        <v>360112</v>
      </c>
      <c r="F48" s="3">
        <v>3</v>
      </c>
      <c r="H48" s="3">
        <v>0</v>
      </c>
      <c r="I48" s="3">
        <v>395</v>
      </c>
      <c r="J48" s="3">
        <v>250</v>
      </c>
      <c r="K48" s="3">
        <v>1</v>
      </c>
      <c r="L48" s="3">
        <v>250</v>
      </c>
      <c r="AJ48" s="3">
        <v>1</v>
      </c>
      <c r="AL48" t="str">
        <f t="shared" si="0"/>
        <v>MASCULINO</v>
      </c>
      <c r="AM48" s="3">
        <v>613</v>
      </c>
    </row>
    <row r="49" spans="1:39" x14ac:dyDescent="0.35">
      <c r="A49" s="3">
        <v>328</v>
      </c>
      <c r="B49" s="3">
        <v>1</v>
      </c>
      <c r="C49" s="3">
        <v>1</v>
      </c>
      <c r="D49" s="3">
        <v>485</v>
      </c>
      <c r="E49" s="3">
        <v>561408</v>
      </c>
      <c r="F49" s="3">
        <v>2</v>
      </c>
      <c r="H49" s="3">
        <v>0</v>
      </c>
      <c r="I49" s="3">
        <v>498</v>
      </c>
      <c r="J49" s="3">
        <v>767</v>
      </c>
      <c r="K49" s="3">
        <v>1</v>
      </c>
      <c r="L49" s="3">
        <v>767</v>
      </c>
      <c r="AJ49" s="3">
        <v>1</v>
      </c>
      <c r="AL49" t="str">
        <f t="shared" si="0"/>
        <v>MASCULINO</v>
      </c>
      <c r="AM49" s="3">
        <v>485</v>
      </c>
    </row>
    <row r="50" spans="1:39" x14ac:dyDescent="0.35">
      <c r="A50" s="3">
        <v>329</v>
      </c>
      <c r="B50" s="3">
        <v>0</v>
      </c>
      <c r="C50" s="3">
        <v>0</v>
      </c>
      <c r="D50" s="3">
        <v>923</v>
      </c>
      <c r="E50" s="3">
        <v>667723</v>
      </c>
      <c r="F50" s="3">
        <v>3</v>
      </c>
      <c r="H50" s="3">
        <v>0</v>
      </c>
      <c r="I50" s="3">
        <v>622</v>
      </c>
      <c r="J50" s="3">
        <v>768</v>
      </c>
      <c r="K50" s="3">
        <v>1</v>
      </c>
      <c r="L50" s="3">
        <v>768</v>
      </c>
      <c r="AJ50" s="3">
        <v>0</v>
      </c>
      <c r="AL50" t="str">
        <f t="shared" si="0"/>
        <v>FEMENINO</v>
      </c>
      <c r="AM50" s="3">
        <v>923</v>
      </c>
    </row>
    <row r="51" spans="1:39" x14ac:dyDescent="0.35">
      <c r="A51" s="3">
        <v>330</v>
      </c>
      <c r="B51" s="3">
        <v>1</v>
      </c>
      <c r="C51" s="3">
        <v>1</v>
      </c>
      <c r="D51" s="3">
        <v>402</v>
      </c>
      <c r="E51" s="3">
        <v>500936</v>
      </c>
      <c r="F51" s="3">
        <v>5</v>
      </c>
      <c r="H51" s="3">
        <v>0</v>
      </c>
      <c r="I51" s="3">
        <v>428</v>
      </c>
      <c r="J51" s="3">
        <v>270</v>
      </c>
      <c r="K51" s="3">
        <v>1</v>
      </c>
      <c r="L51" s="3">
        <v>270</v>
      </c>
      <c r="AJ51" s="3">
        <v>1</v>
      </c>
      <c r="AL51" t="str">
        <f t="shared" si="0"/>
        <v>MASCULINO</v>
      </c>
      <c r="AM51" s="3">
        <v>402</v>
      </c>
    </row>
    <row r="52" spans="1:39" x14ac:dyDescent="0.35">
      <c r="A52" s="3">
        <v>331</v>
      </c>
      <c r="B52" s="3">
        <v>0</v>
      </c>
      <c r="C52" s="3">
        <v>0</v>
      </c>
      <c r="D52" s="3">
        <v>463</v>
      </c>
      <c r="E52" s="3">
        <v>453380</v>
      </c>
      <c r="F52" s="3">
        <v>3</v>
      </c>
      <c r="H52" s="3">
        <v>0</v>
      </c>
      <c r="I52" s="3">
        <v>390</v>
      </c>
      <c r="J52" s="3">
        <v>221</v>
      </c>
      <c r="K52" s="3">
        <v>1</v>
      </c>
      <c r="L52" s="3">
        <v>221</v>
      </c>
      <c r="AJ52" s="3">
        <v>0</v>
      </c>
      <c r="AL52" t="str">
        <f t="shared" si="0"/>
        <v>FEMENINO</v>
      </c>
      <c r="AM52" s="3">
        <v>463</v>
      </c>
    </row>
    <row r="53" spans="1:39" x14ac:dyDescent="0.35">
      <c r="A53" s="3">
        <v>332</v>
      </c>
      <c r="B53" s="3">
        <v>1</v>
      </c>
      <c r="C53" s="3">
        <v>1</v>
      </c>
      <c r="D53" s="3">
        <v>566</v>
      </c>
      <c r="E53" s="3">
        <v>471011</v>
      </c>
      <c r="F53" s="3">
        <v>3</v>
      </c>
      <c r="H53" s="3">
        <v>0</v>
      </c>
      <c r="I53" s="3">
        <v>637</v>
      </c>
      <c r="J53" s="3">
        <v>832</v>
      </c>
      <c r="K53" s="3">
        <v>1</v>
      </c>
      <c r="L53" s="3">
        <v>832</v>
      </c>
      <c r="AJ53" s="3">
        <v>1</v>
      </c>
      <c r="AL53" t="str">
        <f t="shared" si="0"/>
        <v>MASCULINO</v>
      </c>
      <c r="AM53" s="3">
        <v>566</v>
      </c>
    </row>
    <row r="54" spans="1:39" x14ac:dyDescent="0.35">
      <c r="A54" s="3">
        <v>333</v>
      </c>
      <c r="B54" s="3">
        <v>1</v>
      </c>
      <c r="C54" s="3">
        <v>1</v>
      </c>
      <c r="D54" s="3">
        <v>304</v>
      </c>
      <c r="E54" s="3">
        <v>417703</v>
      </c>
      <c r="F54" s="3">
        <v>3</v>
      </c>
      <c r="H54" s="3">
        <v>0</v>
      </c>
      <c r="I54" s="3">
        <v>772</v>
      </c>
      <c r="J54" s="3">
        <v>207</v>
      </c>
      <c r="K54" s="3">
        <v>1</v>
      </c>
      <c r="L54" s="3">
        <v>207</v>
      </c>
      <c r="AJ54" s="3">
        <v>1</v>
      </c>
      <c r="AL54" t="str">
        <f t="shared" si="0"/>
        <v>MASCULINO</v>
      </c>
      <c r="AM54" s="3">
        <v>304</v>
      </c>
    </row>
    <row r="55" spans="1:39" x14ac:dyDescent="0.35">
      <c r="A55" s="3">
        <v>334</v>
      </c>
      <c r="B55" s="3">
        <v>0</v>
      </c>
      <c r="C55" s="3">
        <v>0</v>
      </c>
      <c r="D55" s="3">
        <v>259</v>
      </c>
      <c r="E55" s="3">
        <v>422900</v>
      </c>
      <c r="F55" s="3">
        <v>3</v>
      </c>
      <c r="H55" s="3">
        <v>0</v>
      </c>
      <c r="I55" s="3">
        <v>983</v>
      </c>
      <c r="J55" s="3">
        <v>334</v>
      </c>
      <c r="K55" s="3">
        <v>1</v>
      </c>
      <c r="L55" s="3">
        <v>334</v>
      </c>
      <c r="AJ55" s="3">
        <v>0</v>
      </c>
      <c r="AL55" t="str">
        <f t="shared" si="0"/>
        <v>FEMENINO</v>
      </c>
      <c r="AM55" s="3">
        <v>259</v>
      </c>
    </row>
    <row r="56" spans="1:39" x14ac:dyDescent="0.35">
      <c r="A56" s="3">
        <v>335</v>
      </c>
      <c r="B56" s="3">
        <v>1</v>
      </c>
      <c r="C56" s="3">
        <v>1</v>
      </c>
      <c r="D56" s="3">
        <v>758</v>
      </c>
      <c r="E56" s="3">
        <v>383454</v>
      </c>
      <c r="F56" s="3">
        <v>4</v>
      </c>
      <c r="H56" s="3">
        <v>0</v>
      </c>
      <c r="I56" s="3">
        <v>256</v>
      </c>
      <c r="J56" s="3">
        <v>704</v>
      </c>
      <c r="K56" s="3">
        <v>1</v>
      </c>
      <c r="L56" s="3">
        <v>704</v>
      </c>
      <c r="AJ56" s="3">
        <v>1</v>
      </c>
      <c r="AL56" t="str">
        <f t="shared" si="0"/>
        <v>MASCULINO</v>
      </c>
      <c r="AM56" s="3">
        <v>758</v>
      </c>
    </row>
    <row r="57" spans="1:39" x14ac:dyDescent="0.35">
      <c r="A57" s="3">
        <v>336</v>
      </c>
      <c r="B57" s="3">
        <v>1</v>
      </c>
      <c r="C57" s="3">
        <v>1</v>
      </c>
      <c r="D57" s="3">
        <v>409</v>
      </c>
      <c r="E57" s="3">
        <v>525269</v>
      </c>
      <c r="F57" s="3">
        <v>3</v>
      </c>
      <c r="H57" s="3">
        <v>0</v>
      </c>
      <c r="I57" s="3">
        <v>406</v>
      </c>
      <c r="J57" s="3">
        <v>456</v>
      </c>
      <c r="K57" s="3">
        <v>1</v>
      </c>
      <c r="L57" s="3">
        <v>456</v>
      </c>
      <c r="AJ57" s="3">
        <v>1</v>
      </c>
      <c r="AL57" t="str">
        <f t="shared" si="0"/>
        <v>MASCULINO</v>
      </c>
      <c r="AM57" s="3">
        <v>409</v>
      </c>
    </row>
    <row r="58" spans="1:39" x14ac:dyDescent="0.35">
      <c r="A58" s="3">
        <v>337</v>
      </c>
      <c r="B58" s="3">
        <v>0</v>
      </c>
      <c r="C58" s="3">
        <v>0</v>
      </c>
      <c r="D58" s="3">
        <v>425</v>
      </c>
      <c r="E58" s="3">
        <v>412798</v>
      </c>
      <c r="F58" s="3">
        <v>3</v>
      </c>
      <c r="H58" s="3">
        <v>0</v>
      </c>
      <c r="I58" s="3">
        <v>308</v>
      </c>
      <c r="J58" s="3">
        <v>290</v>
      </c>
      <c r="K58" s="3">
        <v>1</v>
      </c>
      <c r="L58" s="3">
        <v>290</v>
      </c>
      <c r="AJ58" s="3">
        <v>0</v>
      </c>
      <c r="AL58" t="str">
        <f t="shared" si="0"/>
        <v>FEMENINO</v>
      </c>
      <c r="AM58" s="3">
        <v>425</v>
      </c>
    </row>
    <row r="59" spans="1:39" x14ac:dyDescent="0.35">
      <c r="A59" s="3">
        <v>338</v>
      </c>
      <c r="B59" s="3">
        <v>0</v>
      </c>
      <c r="C59" s="3">
        <v>0</v>
      </c>
      <c r="D59" s="3">
        <v>526</v>
      </c>
      <c r="E59" s="3">
        <v>533366</v>
      </c>
      <c r="F59" s="3">
        <v>3</v>
      </c>
      <c r="H59" s="3">
        <v>0</v>
      </c>
      <c r="I59" s="3">
        <v>93</v>
      </c>
      <c r="J59" s="3">
        <v>738</v>
      </c>
      <c r="K59" s="3">
        <v>1</v>
      </c>
      <c r="L59" s="3">
        <v>738</v>
      </c>
      <c r="AJ59" s="3">
        <v>0</v>
      </c>
      <c r="AL59" t="str">
        <f t="shared" si="0"/>
        <v>FEMENINO</v>
      </c>
      <c r="AM59" s="3">
        <v>526</v>
      </c>
    </row>
    <row r="60" spans="1:39" x14ac:dyDescent="0.35">
      <c r="A60" s="3">
        <v>339</v>
      </c>
      <c r="B60" s="3">
        <v>0</v>
      </c>
      <c r="C60" s="3">
        <v>0</v>
      </c>
      <c r="D60" s="3">
        <v>337</v>
      </c>
      <c r="E60" s="3">
        <v>378791</v>
      </c>
      <c r="F60" s="3">
        <v>3</v>
      </c>
      <c r="H60" s="3">
        <v>0</v>
      </c>
      <c r="I60" s="3">
        <v>275</v>
      </c>
      <c r="J60" s="3">
        <v>198</v>
      </c>
      <c r="K60" s="3">
        <v>1</v>
      </c>
      <c r="L60" s="3">
        <v>198</v>
      </c>
      <c r="AJ60" s="3">
        <v>0</v>
      </c>
      <c r="AL60" t="str">
        <f t="shared" si="0"/>
        <v>FEMENINO</v>
      </c>
      <c r="AM60" s="3">
        <v>337</v>
      </c>
    </row>
    <row r="61" spans="1:39" x14ac:dyDescent="0.35">
      <c r="A61" s="3">
        <v>340</v>
      </c>
      <c r="B61" s="3">
        <v>0</v>
      </c>
      <c r="C61" s="3">
        <v>0</v>
      </c>
      <c r="D61" s="3">
        <v>469</v>
      </c>
      <c r="E61" s="3">
        <v>317864</v>
      </c>
      <c r="F61" s="3">
        <v>4</v>
      </c>
      <c r="H61" s="3">
        <v>0</v>
      </c>
      <c r="I61" s="3">
        <v>700</v>
      </c>
      <c r="J61" s="3">
        <v>524</v>
      </c>
      <c r="K61" s="3">
        <v>1</v>
      </c>
      <c r="L61" s="3">
        <v>524</v>
      </c>
      <c r="AJ61" s="3">
        <v>0</v>
      </c>
      <c r="AL61" t="str">
        <f t="shared" si="0"/>
        <v>FEMENINO</v>
      </c>
      <c r="AM61" s="3">
        <v>469</v>
      </c>
    </row>
    <row r="62" spans="1:39" x14ac:dyDescent="0.35">
      <c r="A62" s="3">
        <v>341</v>
      </c>
      <c r="B62" s="3">
        <v>0</v>
      </c>
      <c r="C62" s="3">
        <v>0</v>
      </c>
      <c r="D62" s="3">
        <v>330</v>
      </c>
      <c r="E62" s="3">
        <v>485937</v>
      </c>
      <c r="F62" s="3">
        <v>3</v>
      </c>
      <c r="H62" s="3">
        <v>0</v>
      </c>
      <c r="I62" s="3">
        <v>423</v>
      </c>
      <c r="J62" s="3">
        <v>478</v>
      </c>
      <c r="K62" s="3">
        <v>1</v>
      </c>
      <c r="L62" s="3">
        <v>478</v>
      </c>
      <c r="AJ62" s="3">
        <v>0</v>
      </c>
      <c r="AL62" t="str">
        <f t="shared" si="0"/>
        <v>FEMENINO</v>
      </c>
      <c r="AM62" s="3">
        <v>330</v>
      </c>
    </row>
    <row r="63" spans="1:39" x14ac:dyDescent="0.35">
      <c r="A63" s="3">
        <v>342</v>
      </c>
      <c r="B63" s="3">
        <v>1</v>
      </c>
      <c r="C63" s="3">
        <v>1</v>
      </c>
      <c r="D63" s="3">
        <v>633</v>
      </c>
      <c r="E63" s="3">
        <v>632813</v>
      </c>
      <c r="F63" s="3">
        <v>4</v>
      </c>
      <c r="H63" s="3">
        <v>0</v>
      </c>
      <c r="I63" s="3">
        <v>259</v>
      </c>
      <c r="J63" s="3">
        <v>455</v>
      </c>
      <c r="K63" s="3">
        <v>1</v>
      </c>
      <c r="L63" s="3">
        <v>455</v>
      </c>
      <c r="AJ63" s="3">
        <v>1</v>
      </c>
      <c r="AL63" t="str">
        <f t="shared" si="0"/>
        <v>MASCULINO</v>
      </c>
      <c r="AM63" s="3">
        <v>633</v>
      </c>
    </row>
    <row r="64" spans="1:39" x14ac:dyDescent="0.35">
      <c r="A64" s="3">
        <v>343</v>
      </c>
      <c r="B64" s="3">
        <v>1</v>
      </c>
      <c r="C64" s="3">
        <v>1</v>
      </c>
      <c r="D64" s="3">
        <v>543</v>
      </c>
      <c r="E64" s="3">
        <v>564798</v>
      </c>
      <c r="F64" s="3">
        <v>4</v>
      </c>
      <c r="H64" s="3">
        <v>0</v>
      </c>
      <c r="I64" s="3">
        <v>600</v>
      </c>
      <c r="J64" s="3">
        <v>238</v>
      </c>
      <c r="K64" s="3">
        <v>1</v>
      </c>
      <c r="L64" s="3">
        <v>238</v>
      </c>
      <c r="AJ64" s="3">
        <v>1</v>
      </c>
      <c r="AL64" t="str">
        <f t="shared" si="0"/>
        <v>MASCULINO</v>
      </c>
      <c r="AM64" s="3">
        <v>543</v>
      </c>
    </row>
    <row r="65" spans="1:39" x14ac:dyDescent="0.35">
      <c r="A65" s="3">
        <v>344</v>
      </c>
      <c r="B65" s="3">
        <v>1</v>
      </c>
      <c r="C65" s="3">
        <v>1</v>
      </c>
      <c r="D65" s="3">
        <v>409</v>
      </c>
      <c r="E65" s="3">
        <v>680284</v>
      </c>
      <c r="F65" s="3">
        <v>3</v>
      </c>
      <c r="H65" s="3">
        <v>0</v>
      </c>
      <c r="I65" s="3">
        <v>673</v>
      </c>
      <c r="J65" s="3">
        <v>442</v>
      </c>
      <c r="K65" s="3">
        <v>1</v>
      </c>
      <c r="L65" s="3">
        <v>442</v>
      </c>
      <c r="AJ65" s="3">
        <v>1</v>
      </c>
      <c r="AL65" t="str">
        <f t="shared" si="0"/>
        <v>MASCULINO</v>
      </c>
      <c r="AM65" s="3">
        <v>409</v>
      </c>
    </row>
    <row r="66" spans="1:39" x14ac:dyDescent="0.35">
      <c r="A66" s="3">
        <v>345</v>
      </c>
      <c r="B66" s="3">
        <v>0</v>
      </c>
      <c r="C66" s="3">
        <v>0</v>
      </c>
      <c r="D66" s="3">
        <v>645</v>
      </c>
      <c r="E66" s="3">
        <v>386712</v>
      </c>
      <c r="F66" s="3">
        <v>3</v>
      </c>
      <c r="H66" s="3">
        <v>0</v>
      </c>
      <c r="I66" s="3">
        <v>588</v>
      </c>
      <c r="J66" s="3">
        <v>219</v>
      </c>
      <c r="K66" s="3">
        <v>1</v>
      </c>
      <c r="L66" s="3">
        <v>219</v>
      </c>
      <c r="AJ66" s="3">
        <v>0</v>
      </c>
      <c r="AL66" t="str">
        <f t="shared" si="0"/>
        <v>FEMENINO</v>
      </c>
      <c r="AM66" s="3">
        <v>645</v>
      </c>
    </row>
    <row r="67" spans="1:39" x14ac:dyDescent="0.35">
      <c r="A67" s="3">
        <v>346</v>
      </c>
      <c r="B67" s="3">
        <v>1</v>
      </c>
      <c r="C67" s="3">
        <v>1</v>
      </c>
      <c r="D67" s="3">
        <v>713</v>
      </c>
      <c r="E67" s="3">
        <v>334574</v>
      </c>
      <c r="F67" s="3">
        <v>4</v>
      </c>
      <c r="J67" s="3">
        <v>469</v>
      </c>
      <c r="K67" s="3">
        <v>1</v>
      </c>
      <c r="L67" s="3">
        <v>469</v>
      </c>
      <c r="AJ67" s="3">
        <v>1</v>
      </c>
      <c r="AL67" t="str">
        <f t="shared" ref="AL67:AL130" si="3">IF(AJ67=1,"MASCULINO","FEMENINO")</f>
        <v>MASCULINO</v>
      </c>
      <c r="AM67" s="3">
        <v>713</v>
      </c>
    </row>
    <row r="68" spans="1:39" x14ac:dyDescent="0.35">
      <c r="A68" s="3">
        <v>347</v>
      </c>
      <c r="B68" s="3">
        <v>1</v>
      </c>
      <c r="C68" s="3">
        <v>1</v>
      </c>
      <c r="D68" s="3">
        <v>738</v>
      </c>
      <c r="E68" s="3">
        <v>565655</v>
      </c>
      <c r="F68" s="3">
        <v>3</v>
      </c>
      <c r="J68" s="3">
        <v>596</v>
      </c>
      <c r="K68" s="3">
        <v>1</v>
      </c>
      <c r="L68" s="3">
        <v>596</v>
      </c>
      <c r="AJ68" s="3">
        <v>1</v>
      </c>
      <c r="AL68" t="str">
        <f t="shared" si="3"/>
        <v>MASCULINO</v>
      </c>
      <c r="AM68" s="3">
        <v>738</v>
      </c>
    </row>
    <row r="69" spans="1:39" x14ac:dyDescent="0.35">
      <c r="A69" s="3">
        <v>348</v>
      </c>
      <c r="B69" s="3">
        <v>1</v>
      </c>
      <c r="C69" s="3">
        <v>1</v>
      </c>
      <c r="D69" s="3">
        <v>559</v>
      </c>
      <c r="E69" s="3">
        <v>602694</v>
      </c>
      <c r="F69" s="3">
        <v>2</v>
      </c>
      <c r="J69" s="3">
        <v>456</v>
      </c>
      <c r="K69" s="3">
        <v>1</v>
      </c>
      <c r="L69" s="3">
        <v>456</v>
      </c>
      <c r="AJ69" s="3">
        <v>1</v>
      </c>
      <c r="AL69" t="str">
        <f t="shared" si="3"/>
        <v>MASCULINO</v>
      </c>
      <c r="AM69" s="3">
        <v>559</v>
      </c>
    </row>
    <row r="70" spans="1:39" x14ac:dyDescent="0.35">
      <c r="A70" s="3">
        <v>349</v>
      </c>
      <c r="B70" s="3">
        <v>0</v>
      </c>
      <c r="C70" s="3">
        <v>0</v>
      </c>
      <c r="D70" s="3">
        <v>658</v>
      </c>
      <c r="E70" s="3">
        <v>409596</v>
      </c>
      <c r="F70" s="3">
        <v>4</v>
      </c>
      <c r="J70" s="3">
        <v>178</v>
      </c>
      <c r="K70" s="3">
        <v>1</v>
      </c>
      <c r="L70" s="3">
        <v>178</v>
      </c>
      <c r="AJ70" s="3">
        <v>0</v>
      </c>
      <c r="AL70" t="str">
        <f t="shared" si="3"/>
        <v>FEMENINO</v>
      </c>
      <c r="AM70" s="3">
        <v>658</v>
      </c>
    </row>
    <row r="71" spans="1:39" x14ac:dyDescent="0.35">
      <c r="A71" s="3">
        <v>350</v>
      </c>
      <c r="B71" s="3">
        <v>1</v>
      </c>
      <c r="C71" s="3">
        <v>1</v>
      </c>
      <c r="D71" s="3">
        <v>398</v>
      </c>
      <c r="E71" s="3">
        <v>398124</v>
      </c>
      <c r="F71" s="3">
        <v>2</v>
      </c>
      <c r="J71" s="3">
        <v>679</v>
      </c>
      <c r="K71" s="3">
        <v>1</v>
      </c>
      <c r="L71" s="3">
        <v>679</v>
      </c>
      <c r="AJ71" s="3">
        <v>1</v>
      </c>
      <c r="AL71" t="str">
        <f t="shared" si="3"/>
        <v>MASCULINO</v>
      </c>
      <c r="AM71" s="3">
        <v>398</v>
      </c>
    </row>
    <row r="72" spans="1:39" x14ac:dyDescent="0.35">
      <c r="A72" s="3">
        <v>351</v>
      </c>
      <c r="B72" s="3">
        <v>0</v>
      </c>
      <c r="C72" s="3">
        <v>0</v>
      </c>
      <c r="D72" s="3">
        <v>692</v>
      </c>
      <c r="E72" s="3">
        <v>524605</v>
      </c>
      <c r="F72" s="3">
        <v>3</v>
      </c>
      <c r="J72" s="3">
        <v>139</v>
      </c>
      <c r="K72" s="3">
        <v>1</v>
      </c>
      <c r="L72" s="3">
        <v>139</v>
      </c>
      <c r="AJ72" s="3">
        <v>0</v>
      </c>
      <c r="AL72" t="str">
        <f t="shared" si="3"/>
        <v>FEMENINO</v>
      </c>
      <c r="AM72" s="3">
        <v>692</v>
      </c>
    </row>
    <row r="73" spans="1:39" x14ac:dyDescent="0.35">
      <c r="A73" s="3">
        <v>352</v>
      </c>
      <c r="B73" s="3">
        <v>0</v>
      </c>
      <c r="C73" s="3">
        <v>0</v>
      </c>
      <c r="D73" s="3">
        <v>551</v>
      </c>
      <c r="E73" s="3">
        <v>412848</v>
      </c>
      <c r="F73" s="3">
        <v>4</v>
      </c>
      <c r="J73" s="3">
        <v>287</v>
      </c>
      <c r="K73" s="3">
        <v>1</v>
      </c>
      <c r="L73" s="3">
        <v>287</v>
      </c>
      <c r="AJ73" s="3">
        <v>0</v>
      </c>
      <c r="AL73" t="str">
        <f t="shared" si="3"/>
        <v>FEMENINO</v>
      </c>
      <c r="AM73" s="3">
        <v>551</v>
      </c>
    </row>
    <row r="74" spans="1:39" x14ac:dyDescent="0.35">
      <c r="A74" s="3">
        <v>353</v>
      </c>
      <c r="B74" s="3">
        <v>0</v>
      </c>
      <c r="C74" s="3">
        <v>0</v>
      </c>
      <c r="D74" s="3">
        <v>240</v>
      </c>
      <c r="E74" s="3">
        <v>531789</v>
      </c>
      <c r="F74" s="3">
        <v>3</v>
      </c>
      <c r="J74" s="3">
        <v>715</v>
      </c>
      <c r="K74" s="3">
        <v>1</v>
      </c>
      <c r="L74" s="3">
        <v>715</v>
      </c>
      <c r="AJ74" s="3">
        <v>0</v>
      </c>
      <c r="AL74" t="str">
        <f t="shared" si="3"/>
        <v>FEMENINO</v>
      </c>
      <c r="AM74" s="3">
        <v>240</v>
      </c>
    </row>
    <row r="75" spans="1:39" x14ac:dyDescent="0.35">
      <c r="A75" s="3">
        <v>354</v>
      </c>
      <c r="B75" s="3">
        <v>0</v>
      </c>
      <c r="C75" s="3">
        <v>0</v>
      </c>
      <c r="D75" s="3">
        <v>379</v>
      </c>
      <c r="E75" s="3">
        <v>960969</v>
      </c>
      <c r="F75" s="3">
        <v>4</v>
      </c>
      <c r="J75" s="3">
        <v>420</v>
      </c>
      <c r="K75" s="3">
        <v>1</v>
      </c>
      <c r="L75" s="3">
        <v>420</v>
      </c>
      <c r="AJ75" s="3">
        <v>0</v>
      </c>
      <c r="AL75" t="str">
        <f t="shared" si="3"/>
        <v>FEMENINO</v>
      </c>
      <c r="AM75" s="3">
        <v>379</v>
      </c>
    </row>
    <row r="76" spans="1:39" x14ac:dyDescent="0.35">
      <c r="A76" s="3">
        <v>355</v>
      </c>
      <c r="B76" s="3">
        <v>0</v>
      </c>
      <c r="C76" s="3">
        <v>0</v>
      </c>
      <c r="D76" s="3">
        <v>402</v>
      </c>
      <c r="E76" s="3">
        <v>319617</v>
      </c>
      <c r="F76" s="3">
        <v>3</v>
      </c>
      <c r="J76" s="3">
        <v>125</v>
      </c>
      <c r="K76" s="3">
        <v>1</v>
      </c>
      <c r="L76" s="3">
        <v>125</v>
      </c>
      <c r="AJ76" s="3">
        <v>0</v>
      </c>
      <c r="AL76" t="str">
        <f t="shared" si="3"/>
        <v>FEMENINO</v>
      </c>
      <c r="AM76" s="3">
        <v>402</v>
      </c>
    </row>
    <row r="77" spans="1:39" x14ac:dyDescent="0.35">
      <c r="A77" s="3">
        <v>356</v>
      </c>
      <c r="B77" s="3">
        <v>0</v>
      </c>
      <c r="C77" s="3">
        <v>0</v>
      </c>
      <c r="D77" s="3">
        <v>385</v>
      </c>
      <c r="E77" s="3">
        <v>402234</v>
      </c>
      <c r="F77" s="3">
        <v>3</v>
      </c>
      <c r="AJ77" s="3">
        <v>0</v>
      </c>
      <c r="AL77" t="str">
        <f t="shared" si="3"/>
        <v>FEMENINO</v>
      </c>
      <c r="AM77" s="3">
        <v>385</v>
      </c>
    </row>
    <row r="78" spans="1:39" x14ac:dyDescent="0.35">
      <c r="A78" s="3">
        <v>357</v>
      </c>
      <c r="B78" s="3">
        <v>1</v>
      </c>
      <c r="C78" s="3">
        <v>1</v>
      </c>
      <c r="D78" s="3">
        <v>372</v>
      </c>
      <c r="E78" s="3">
        <v>431940</v>
      </c>
      <c r="F78" s="3">
        <v>3</v>
      </c>
      <c r="AJ78" s="3">
        <v>1</v>
      </c>
      <c r="AL78" t="str">
        <f t="shared" si="3"/>
        <v>MASCULINO</v>
      </c>
      <c r="AM78" s="3">
        <v>372</v>
      </c>
    </row>
    <row r="79" spans="1:39" x14ac:dyDescent="0.35">
      <c r="A79" s="3">
        <v>358</v>
      </c>
      <c r="B79" s="3">
        <v>1</v>
      </c>
      <c r="C79" s="3">
        <v>1</v>
      </c>
      <c r="D79" s="3">
        <v>384</v>
      </c>
      <c r="E79" s="3">
        <v>632260</v>
      </c>
      <c r="F79" s="3">
        <v>4</v>
      </c>
      <c r="AJ79" s="3">
        <v>1</v>
      </c>
      <c r="AL79" t="str">
        <f t="shared" si="3"/>
        <v>MASCULINO</v>
      </c>
      <c r="AM79" s="3">
        <v>384</v>
      </c>
    </row>
    <row r="80" spans="1:39" x14ac:dyDescent="0.35">
      <c r="A80" s="3">
        <v>359</v>
      </c>
      <c r="B80" s="3">
        <v>0</v>
      </c>
      <c r="C80" s="3">
        <v>0</v>
      </c>
      <c r="D80" s="3">
        <v>607</v>
      </c>
      <c r="E80" s="3">
        <v>325146</v>
      </c>
      <c r="F80" s="3">
        <v>4</v>
      </c>
      <c r="AJ80" s="3">
        <v>0</v>
      </c>
      <c r="AL80" t="str">
        <f t="shared" si="3"/>
        <v>FEMENINO</v>
      </c>
      <c r="AM80" s="3">
        <v>607</v>
      </c>
    </row>
    <row r="81" spans="1:39" x14ac:dyDescent="0.35">
      <c r="A81" s="3">
        <v>360</v>
      </c>
      <c r="B81" s="3">
        <v>0</v>
      </c>
      <c r="C81" s="3">
        <v>0</v>
      </c>
      <c r="D81" s="3">
        <v>795</v>
      </c>
      <c r="E81" s="3">
        <v>483523</v>
      </c>
      <c r="F81" s="3">
        <v>3</v>
      </c>
      <c r="AJ81" s="3">
        <v>0</v>
      </c>
      <c r="AL81" t="str">
        <f t="shared" si="3"/>
        <v>FEMENINO</v>
      </c>
      <c r="AM81" s="3">
        <v>795</v>
      </c>
    </row>
    <row r="82" spans="1:39" x14ac:dyDescent="0.35">
      <c r="A82" s="3">
        <v>361</v>
      </c>
      <c r="B82" s="3">
        <v>0</v>
      </c>
      <c r="C82" s="3">
        <v>0</v>
      </c>
      <c r="D82" s="3">
        <v>625</v>
      </c>
      <c r="E82" s="3">
        <v>636773</v>
      </c>
      <c r="F82" s="3">
        <v>4</v>
      </c>
      <c r="AJ82" s="3">
        <v>0</v>
      </c>
      <c r="AL82" t="str">
        <f t="shared" si="3"/>
        <v>FEMENINO</v>
      </c>
      <c r="AM82" s="3">
        <v>625</v>
      </c>
    </row>
    <row r="83" spans="1:39" x14ac:dyDescent="0.35">
      <c r="A83" s="3">
        <v>362</v>
      </c>
      <c r="B83" s="3">
        <v>1</v>
      </c>
      <c r="C83" s="3">
        <v>1</v>
      </c>
      <c r="D83" s="3">
        <v>810</v>
      </c>
      <c r="E83" s="3">
        <v>390243</v>
      </c>
      <c r="F83" s="3">
        <v>3</v>
      </c>
      <c r="AJ83" s="3">
        <v>1</v>
      </c>
      <c r="AL83" t="str">
        <f t="shared" si="3"/>
        <v>MASCULINO</v>
      </c>
      <c r="AM83" s="3">
        <v>810</v>
      </c>
    </row>
    <row r="84" spans="1:39" x14ac:dyDescent="0.35">
      <c r="A84" s="3">
        <v>363</v>
      </c>
      <c r="B84" s="3">
        <v>1</v>
      </c>
      <c r="C84" s="3">
        <v>1</v>
      </c>
      <c r="D84" s="3">
        <v>272</v>
      </c>
      <c r="E84" s="3">
        <v>446945</v>
      </c>
      <c r="F84" s="3">
        <v>4</v>
      </c>
      <c r="AJ84" s="3">
        <v>1</v>
      </c>
      <c r="AL84" t="str">
        <f t="shared" si="3"/>
        <v>MASCULINO</v>
      </c>
      <c r="AM84" s="3">
        <v>272</v>
      </c>
    </row>
    <row r="85" spans="1:39" x14ac:dyDescent="0.35">
      <c r="A85" s="3">
        <v>364</v>
      </c>
      <c r="B85" s="3">
        <v>0</v>
      </c>
      <c r="C85" s="3">
        <v>0</v>
      </c>
      <c r="D85" s="3">
        <v>286</v>
      </c>
      <c r="E85" s="3">
        <v>350084</v>
      </c>
      <c r="F85" s="3">
        <v>3</v>
      </c>
      <c r="AJ85" s="3">
        <v>0</v>
      </c>
      <c r="AL85" t="str">
        <f t="shared" si="3"/>
        <v>FEMENINO</v>
      </c>
      <c r="AM85" s="3">
        <v>286</v>
      </c>
    </row>
    <row r="86" spans="1:39" x14ac:dyDescent="0.35">
      <c r="A86" s="3">
        <v>365</v>
      </c>
      <c r="B86" s="3">
        <v>1</v>
      </c>
      <c r="C86" s="3">
        <v>1</v>
      </c>
      <c r="D86" s="3">
        <v>626</v>
      </c>
      <c r="E86" s="3">
        <v>534982</v>
      </c>
      <c r="F86" s="3">
        <v>3</v>
      </c>
      <c r="AJ86" s="3">
        <v>1</v>
      </c>
      <c r="AL86" t="str">
        <f t="shared" si="3"/>
        <v>MASCULINO</v>
      </c>
      <c r="AM86" s="3">
        <v>626</v>
      </c>
    </row>
    <row r="87" spans="1:39" x14ac:dyDescent="0.35">
      <c r="A87" s="3">
        <v>366</v>
      </c>
      <c r="B87" s="3">
        <v>0</v>
      </c>
      <c r="C87" s="3">
        <v>0</v>
      </c>
      <c r="D87" s="3">
        <v>349</v>
      </c>
      <c r="E87" s="3">
        <v>442118</v>
      </c>
      <c r="F87" s="3">
        <v>4</v>
      </c>
      <c r="AJ87" s="3">
        <v>0</v>
      </c>
      <c r="AL87" t="str">
        <f t="shared" si="3"/>
        <v>FEMENINO</v>
      </c>
      <c r="AM87" s="3">
        <v>349</v>
      </c>
    </row>
    <row r="88" spans="1:39" x14ac:dyDescent="0.35">
      <c r="A88" s="3">
        <v>367</v>
      </c>
      <c r="B88" s="3">
        <v>1</v>
      </c>
      <c r="C88" s="3">
        <v>1</v>
      </c>
      <c r="D88" s="3">
        <v>373</v>
      </c>
      <c r="E88" s="3">
        <v>644976</v>
      </c>
      <c r="F88" s="3">
        <v>3</v>
      </c>
      <c r="AJ88" s="3">
        <v>1</v>
      </c>
      <c r="AL88" t="str">
        <f t="shared" si="3"/>
        <v>MASCULINO</v>
      </c>
      <c r="AM88" s="3">
        <v>373</v>
      </c>
    </row>
    <row r="89" spans="1:39" x14ac:dyDescent="0.35">
      <c r="A89" s="3">
        <v>368</v>
      </c>
      <c r="B89" s="3">
        <v>0</v>
      </c>
      <c r="C89" s="3">
        <v>0</v>
      </c>
      <c r="D89" s="3">
        <v>513</v>
      </c>
      <c r="E89" s="3">
        <v>1170975</v>
      </c>
      <c r="F89" s="3">
        <v>4</v>
      </c>
      <c r="AJ89" s="3">
        <v>0</v>
      </c>
      <c r="AL89" t="str">
        <f t="shared" si="3"/>
        <v>FEMENINO</v>
      </c>
      <c r="AM89" s="3">
        <v>513</v>
      </c>
    </row>
    <row r="90" spans="1:39" x14ac:dyDescent="0.35">
      <c r="A90" s="3">
        <v>369</v>
      </c>
      <c r="B90" s="3">
        <v>0</v>
      </c>
      <c r="C90" s="3">
        <v>0</v>
      </c>
      <c r="D90" s="3">
        <v>713</v>
      </c>
      <c r="E90" s="3">
        <v>748237</v>
      </c>
      <c r="F90" s="3">
        <v>3</v>
      </c>
      <c r="AJ90" s="3">
        <v>0</v>
      </c>
      <c r="AL90" t="str">
        <f t="shared" si="3"/>
        <v>FEMENINO</v>
      </c>
      <c r="AM90" s="3">
        <v>713</v>
      </c>
    </row>
    <row r="91" spans="1:39" x14ac:dyDescent="0.35">
      <c r="A91" s="3">
        <v>370</v>
      </c>
      <c r="B91" s="3">
        <v>1</v>
      </c>
      <c r="C91" s="3">
        <v>1</v>
      </c>
      <c r="D91" s="3">
        <v>250</v>
      </c>
      <c r="E91" s="3">
        <v>446332</v>
      </c>
      <c r="F91" s="3">
        <v>3</v>
      </c>
      <c r="AJ91" s="3">
        <v>1</v>
      </c>
      <c r="AL91" t="str">
        <f t="shared" si="3"/>
        <v>MASCULINO</v>
      </c>
      <c r="AM91" s="3">
        <v>250</v>
      </c>
    </row>
    <row r="92" spans="1:39" x14ac:dyDescent="0.35">
      <c r="A92" s="3">
        <v>371</v>
      </c>
      <c r="B92" s="3">
        <v>1</v>
      </c>
      <c r="C92" s="3">
        <v>1</v>
      </c>
      <c r="D92" s="3">
        <v>767</v>
      </c>
      <c r="E92" s="3">
        <v>494144</v>
      </c>
      <c r="F92" s="3">
        <v>4</v>
      </c>
      <c r="AJ92" s="3">
        <v>1</v>
      </c>
      <c r="AL92" t="str">
        <f t="shared" si="3"/>
        <v>MASCULINO</v>
      </c>
      <c r="AM92" s="3">
        <v>767</v>
      </c>
    </row>
    <row r="93" spans="1:39" x14ac:dyDescent="0.35">
      <c r="A93" s="3">
        <v>372</v>
      </c>
      <c r="B93" s="3">
        <v>0</v>
      </c>
      <c r="C93" s="3">
        <v>0</v>
      </c>
      <c r="D93" s="3">
        <v>533</v>
      </c>
      <c r="E93" s="3">
        <v>756712</v>
      </c>
      <c r="F93" s="3">
        <v>4</v>
      </c>
      <c r="AJ93" s="3">
        <v>0</v>
      </c>
      <c r="AL93" t="str">
        <f t="shared" si="3"/>
        <v>FEMENINO</v>
      </c>
      <c r="AM93" s="3">
        <v>533</v>
      </c>
    </row>
    <row r="94" spans="1:39" x14ac:dyDescent="0.35">
      <c r="A94" s="3">
        <v>373</v>
      </c>
      <c r="B94" s="3">
        <v>0</v>
      </c>
      <c r="C94" s="3">
        <v>0</v>
      </c>
      <c r="D94" s="3">
        <v>344</v>
      </c>
      <c r="E94" s="3">
        <v>447254</v>
      </c>
      <c r="F94" s="3">
        <v>5</v>
      </c>
      <c r="AJ94" s="3">
        <v>0</v>
      </c>
      <c r="AL94" t="str">
        <f t="shared" si="3"/>
        <v>FEMENINO</v>
      </c>
      <c r="AM94" s="3">
        <v>344</v>
      </c>
    </row>
    <row r="95" spans="1:39" x14ac:dyDescent="0.35">
      <c r="A95" s="3">
        <v>374</v>
      </c>
      <c r="B95" s="3">
        <v>0</v>
      </c>
      <c r="C95" s="3">
        <v>0</v>
      </c>
      <c r="D95" s="3">
        <v>285</v>
      </c>
      <c r="E95" s="3">
        <v>1266485</v>
      </c>
      <c r="F95" s="3">
        <v>3</v>
      </c>
      <c r="AJ95" s="3">
        <v>0</v>
      </c>
      <c r="AL95" t="str">
        <f t="shared" si="3"/>
        <v>FEMENINO</v>
      </c>
      <c r="AM95" s="3">
        <v>285</v>
      </c>
    </row>
    <row r="96" spans="1:39" x14ac:dyDescent="0.35">
      <c r="A96" s="3">
        <v>375</v>
      </c>
      <c r="B96" s="3">
        <v>0</v>
      </c>
      <c r="C96" s="3">
        <v>0</v>
      </c>
      <c r="D96" s="3">
        <v>395</v>
      </c>
      <c r="E96" s="3">
        <v>420626</v>
      </c>
      <c r="F96" s="3">
        <v>4</v>
      </c>
      <c r="AJ96" s="3">
        <v>0</v>
      </c>
      <c r="AL96" t="str">
        <f t="shared" si="3"/>
        <v>FEMENINO</v>
      </c>
      <c r="AM96" s="3">
        <v>395</v>
      </c>
    </row>
    <row r="97" spans="1:39" x14ac:dyDescent="0.35">
      <c r="A97" s="3">
        <v>376</v>
      </c>
      <c r="B97" s="3">
        <v>1</v>
      </c>
      <c r="C97" s="3">
        <v>1</v>
      </c>
      <c r="D97" s="3">
        <v>768</v>
      </c>
      <c r="E97" s="3">
        <v>597330</v>
      </c>
      <c r="F97" s="3">
        <v>4</v>
      </c>
      <c r="AJ97" s="3">
        <v>1</v>
      </c>
      <c r="AL97" t="str">
        <f t="shared" si="3"/>
        <v>MASCULINO</v>
      </c>
      <c r="AM97" s="3">
        <v>768</v>
      </c>
    </row>
    <row r="98" spans="1:39" x14ac:dyDescent="0.35">
      <c r="A98" s="3">
        <v>377</v>
      </c>
      <c r="B98" s="3">
        <v>1</v>
      </c>
      <c r="C98" s="3">
        <v>1</v>
      </c>
      <c r="D98" s="3">
        <v>270</v>
      </c>
      <c r="E98" s="3">
        <v>422321</v>
      </c>
      <c r="F98" s="3">
        <v>4</v>
      </c>
      <c r="AJ98" s="3">
        <v>1</v>
      </c>
      <c r="AL98" t="str">
        <f t="shared" si="3"/>
        <v>MASCULINO</v>
      </c>
      <c r="AM98" s="3">
        <v>270</v>
      </c>
    </row>
    <row r="99" spans="1:39" x14ac:dyDescent="0.35">
      <c r="A99" s="3">
        <v>378</v>
      </c>
      <c r="B99" s="3">
        <v>0</v>
      </c>
      <c r="C99" s="3">
        <v>0</v>
      </c>
      <c r="D99" s="3">
        <v>498</v>
      </c>
      <c r="E99" s="3">
        <v>329113</v>
      </c>
      <c r="F99" s="3">
        <v>3</v>
      </c>
      <c r="AJ99" s="3">
        <v>0</v>
      </c>
      <c r="AL99" t="str">
        <f t="shared" si="3"/>
        <v>FEMENINO</v>
      </c>
      <c r="AM99" s="3">
        <v>498</v>
      </c>
    </row>
    <row r="100" spans="1:39" x14ac:dyDescent="0.35">
      <c r="A100" s="3">
        <v>379</v>
      </c>
      <c r="B100" s="3">
        <v>1</v>
      </c>
      <c r="C100" s="3">
        <v>1</v>
      </c>
      <c r="D100" s="3">
        <v>221</v>
      </c>
      <c r="E100" s="3">
        <v>431078</v>
      </c>
      <c r="F100" s="3">
        <v>4</v>
      </c>
      <c r="AJ100" s="3">
        <v>1</v>
      </c>
      <c r="AL100" t="str">
        <f t="shared" si="3"/>
        <v>MASCULINO</v>
      </c>
      <c r="AM100" s="3">
        <v>221</v>
      </c>
    </row>
    <row r="101" spans="1:39" x14ac:dyDescent="0.35">
      <c r="A101" s="3">
        <v>380</v>
      </c>
      <c r="B101" s="3">
        <v>1</v>
      </c>
      <c r="C101" s="3">
        <v>1</v>
      </c>
      <c r="D101" s="3">
        <v>832</v>
      </c>
      <c r="E101" s="3">
        <v>489000</v>
      </c>
      <c r="F101" s="3">
        <v>3</v>
      </c>
      <c r="AJ101" s="3">
        <v>1</v>
      </c>
      <c r="AL101" t="str">
        <f t="shared" si="3"/>
        <v>MASCULINO</v>
      </c>
      <c r="AM101" s="3">
        <v>832</v>
      </c>
    </row>
    <row r="102" spans="1:39" x14ac:dyDescent="0.35">
      <c r="A102" s="3">
        <v>381</v>
      </c>
      <c r="B102" s="3">
        <v>0</v>
      </c>
      <c r="C102" s="3">
        <v>0</v>
      </c>
      <c r="D102" s="3">
        <v>622</v>
      </c>
      <c r="E102" s="3">
        <v>436033</v>
      </c>
      <c r="F102" s="3">
        <v>4</v>
      </c>
      <c r="AJ102" s="3">
        <v>0</v>
      </c>
      <c r="AL102" t="str">
        <f t="shared" si="3"/>
        <v>FEMENINO</v>
      </c>
      <c r="AM102" s="3">
        <v>622</v>
      </c>
    </row>
    <row r="103" spans="1:39" x14ac:dyDescent="0.35">
      <c r="A103" s="3">
        <v>382</v>
      </c>
      <c r="B103" s="3">
        <v>0</v>
      </c>
      <c r="C103" s="3">
        <v>0</v>
      </c>
      <c r="D103" s="3">
        <v>428</v>
      </c>
      <c r="E103" s="3">
        <v>452003</v>
      </c>
      <c r="F103" s="3">
        <v>3</v>
      </c>
      <c r="AJ103" s="3">
        <v>0</v>
      </c>
      <c r="AL103" t="str">
        <f t="shared" si="3"/>
        <v>FEMENINO</v>
      </c>
      <c r="AM103" s="3">
        <v>428</v>
      </c>
    </row>
    <row r="104" spans="1:39" x14ac:dyDescent="0.35">
      <c r="A104" s="3">
        <v>383</v>
      </c>
      <c r="B104" s="3">
        <v>0</v>
      </c>
      <c r="C104" s="3">
        <v>0</v>
      </c>
      <c r="D104" s="3">
        <v>390</v>
      </c>
      <c r="E104" s="3">
        <v>972726</v>
      </c>
      <c r="F104" s="3">
        <v>4</v>
      </c>
      <c r="AJ104" s="3">
        <v>0</v>
      </c>
      <c r="AL104" t="str">
        <f t="shared" si="3"/>
        <v>FEMENINO</v>
      </c>
      <c r="AM104" s="3">
        <v>390</v>
      </c>
    </row>
    <row r="105" spans="1:39" x14ac:dyDescent="0.35">
      <c r="A105" s="3">
        <v>384</v>
      </c>
      <c r="B105" s="3">
        <v>1</v>
      </c>
      <c r="C105" s="3">
        <v>1</v>
      </c>
      <c r="D105" s="3">
        <v>207</v>
      </c>
      <c r="E105" s="3">
        <v>451386</v>
      </c>
      <c r="F105" s="3">
        <v>4</v>
      </c>
      <c r="AJ105" s="3">
        <v>1</v>
      </c>
      <c r="AL105" t="str">
        <f t="shared" si="3"/>
        <v>MASCULINO</v>
      </c>
      <c r="AM105" s="3">
        <v>207</v>
      </c>
    </row>
    <row r="106" spans="1:39" x14ac:dyDescent="0.35">
      <c r="A106" s="3">
        <v>385</v>
      </c>
      <c r="B106" s="3">
        <v>1</v>
      </c>
      <c r="C106" s="3">
        <v>1</v>
      </c>
      <c r="D106" s="3">
        <v>334</v>
      </c>
      <c r="E106" s="3">
        <v>490649</v>
      </c>
      <c r="F106" s="3">
        <v>4</v>
      </c>
      <c r="AJ106" s="3">
        <v>1</v>
      </c>
      <c r="AL106" t="str">
        <f t="shared" si="3"/>
        <v>MASCULINO</v>
      </c>
      <c r="AM106" s="3">
        <v>334</v>
      </c>
    </row>
    <row r="107" spans="1:39" x14ac:dyDescent="0.35">
      <c r="A107" s="3">
        <v>386</v>
      </c>
      <c r="B107" s="3">
        <v>1</v>
      </c>
      <c r="C107" s="3">
        <v>1</v>
      </c>
      <c r="D107" s="3">
        <v>704</v>
      </c>
      <c r="E107" s="3">
        <v>471080</v>
      </c>
      <c r="F107" s="3">
        <v>3</v>
      </c>
      <c r="AJ107" s="3">
        <v>1</v>
      </c>
      <c r="AL107" t="str">
        <f t="shared" si="3"/>
        <v>MASCULINO</v>
      </c>
      <c r="AM107" s="3">
        <v>704</v>
      </c>
    </row>
    <row r="108" spans="1:39" x14ac:dyDescent="0.35">
      <c r="A108" s="3">
        <v>387</v>
      </c>
      <c r="B108" s="3">
        <v>1</v>
      </c>
      <c r="C108" s="3">
        <v>1</v>
      </c>
      <c r="D108" s="3">
        <v>456</v>
      </c>
      <c r="E108" s="3">
        <v>637542</v>
      </c>
      <c r="F108" s="3">
        <v>3</v>
      </c>
      <c r="AJ108" s="3">
        <v>1</v>
      </c>
      <c r="AL108" t="str">
        <f t="shared" si="3"/>
        <v>MASCULINO</v>
      </c>
      <c r="AM108" s="3">
        <v>456</v>
      </c>
    </row>
    <row r="109" spans="1:39" x14ac:dyDescent="0.35">
      <c r="A109" s="3">
        <v>388</v>
      </c>
      <c r="B109" s="3">
        <v>1</v>
      </c>
      <c r="C109" s="3">
        <v>1</v>
      </c>
      <c r="D109" s="3">
        <v>290</v>
      </c>
      <c r="E109" s="3">
        <v>461667</v>
      </c>
      <c r="F109" s="3">
        <v>4</v>
      </c>
      <c r="AJ109" s="3">
        <v>1</v>
      </c>
      <c r="AL109" t="str">
        <f t="shared" si="3"/>
        <v>MASCULINO</v>
      </c>
      <c r="AM109" s="3">
        <v>290</v>
      </c>
    </row>
    <row r="110" spans="1:39" x14ac:dyDescent="0.35">
      <c r="A110" s="3">
        <v>389</v>
      </c>
      <c r="B110" s="3">
        <v>1</v>
      </c>
      <c r="C110" s="3">
        <v>1</v>
      </c>
      <c r="D110" s="3">
        <v>738</v>
      </c>
      <c r="E110" s="3">
        <v>404233</v>
      </c>
      <c r="F110" s="3">
        <v>3</v>
      </c>
      <c r="AJ110" s="3">
        <v>1</v>
      </c>
      <c r="AL110" t="str">
        <f t="shared" si="3"/>
        <v>MASCULINO</v>
      </c>
      <c r="AM110" s="3">
        <v>738</v>
      </c>
    </row>
    <row r="111" spans="1:39" x14ac:dyDescent="0.35">
      <c r="A111" s="3">
        <v>390</v>
      </c>
      <c r="B111" s="3">
        <v>1</v>
      </c>
      <c r="C111" s="3">
        <v>1</v>
      </c>
      <c r="D111" s="3">
        <v>198</v>
      </c>
      <c r="E111" s="3">
        <v>353043</v>
      </c>
      <c r="F111" s="3">
        <v>3</v>
      </c>
      <c r="AJ111" s="3">
        <v>1</v>
      </c>
      <c r="AL111" t="str">
        <f t="shared" si="3"/>
        <v>MASCULINO</v>
      </c>
      <c r="AM111" s="3">
        <v>198</v>
      </c>
    </row>
    <row r="112" spans="1:39" x14ac:dyDescent="0.35">
      <c r="A112" s="3">
        <v>391</v>
      </c>
      <c r="B112" s="3">
        <v>1</v>
      </c>
      <c r="C112" s="3">
        <v>1</v>
      </c>
      <c r="D112" s="3">
        <v>524</v>
      </c>
      <c r="E112" s="3">
        <v>462818</v>
      </c>
      <c r="F112" s="3">
        <v>5</v>
      </c>
      <c r="AJ112" s="3">
        <v>1</v>
      </c>
      <c r="AL112" t="str">
        <f t="shared" si="3"/>
        <v>MASCULINO</v>
      </c>
      <c r="AM112" s="3">
        <v>524</v>
      </c>
    </row>
    <row r="113" spans="1:39" x14ac:dyDescent="0.35">
      <c r="A113" s="3">
        <v>392</v>
      </c>
      <c r="B113" s="3">
        <v>0</v>
      </c>
      <c r="C113" s="3">
        <v>0</v>
      </c>
      <c r="D113" s="3">
        <v>637</v>
      </c>
      <c r="E113" s="3">
        <v>599710</v>
      </c>
      <c r="F113" s="3">
        <v>3</v>
      </c>
      <c r="AJ113" s="3">
        <v>0</v>
      </c>
      <c r="AL113" t="str">
        <f t="shared" si="3"/>
        <v>FEMENINO</v>
      </c>
      <c r="AM113" s="3">
        <v>637</v>
      </c>
    </row>
    <row r="114" spans="1:39" x14ac:dyDescent="0.35">
      <c r="A114" s="3">
        <v>393</v>
      </c>
      <c r="B114" s="3">
        <v>0</v>
      </c>
      <c r="C114" s="3">
        <v>0</v>
      </c>
      <c r="D114" s="3">
        <v>772</v>
      </c>
      <c r="E114" s="3">
        <v>665398</v>
      </c>
      <c r="F114" s="3">
        <v>4</v>
      </c>
      <c r="AJ114" s="3">
        <v>0</v>
      </c>
      <c r="AL114" t="str">
        <f t="shared" si="3"/>
        <v>FEMENINO</v>
      </c>
      <c r="AM114" s="3">
        <v>772</v>
      </c>
    </row>
    <row r="115" spans="1:39" x14ac:dyDescent="0.35">
      <c r="A115" s="3">
        <v>394</v>
      </c>
      <c r="B115" s="3">
        <v>0</v>
      </c>
      <c r="C115" s="3">
        <v>0</v>
      </c>
      <c r="D115" s="3">
        <v>983</v>
      </c>
      <c r="E115" s="3">
        <v>618862</v>
      </c>
      <c r="F115" s="3">
        <v>3</v>
      </c>
      <c r="AJ115" s="3">
        <v>0</v>
      </c>
      <c r="AL115" t="str">
        <f t="shared" si="3"/>
        <v>FEMENINO</v>
      </c>
      <c r="AM115" s="3">
        <v>983</v>
      </c>
    </row>
    <row r="116" spans="1:39" x14ac:dyDescent="0.35">
      <c r="A116" s="3">
        <v>395</v>
      </c>
      <c r="B116" s="3">
        <v>1</v>
      </c>
      <c r="C116" s="3">
        <v>1</v>
      </c>
      <c r="D116" s="3">
        <v>478</v>
      </c>
      <c r="E116" s="3">
        <v>452340</v>
      </c>
      <c r="F116" s="3">
        <v>4</v>
      </c>
      <c r="AJ116" s="3">
        <v>1</v>
      </c>
      <c r="AL116" t="str">
        <f t="shared" si="3"/>
        <v>MASCULINO</v>
      </c>
      <c r="AM116" s="3">
        <v>478</v>
      </c>
    </row>
    <row r="117" spans="1:39" x14ac:dyDescent="0.35">
      <c r="A117" s="3">
        <v>396</v>
      </c>
      <c r="B117" s="3">
        <v>1</v>
      </c>
      <c r="C117" s="3">
        <v>1</v>
      </c>
      <c r="D117" s="3">
        <v>455</v>
      </c>
      <c r="E117" s="3">
        <v>1189335</v>
      </c>
      <c r="F117" s="3">
        <v>4</v>
      </c>
      <c r="AJ117" s="3">
        <v>1</v>
      </c>
      <c r="AL117" t="str">
        <f t="shared" si="3"/>
        <v>MASCULINO</v>
      </c>
      <c r="AM117" s="3">
        <v>455</v>
      </c>
    </row>
    <row r="118" spans="1:39" x14ac:dyDescent="0.35">
      <c r="A118" s="3">
        <v>397</v>
      </c>
      <c r="B118" s="3">
        <v>1</v>
      </c>
      <c r="C118" s="3">
        <v>1</v>
      </c>
      <c r="D118" s="3">
        <v>238</v>
      </c>
      <c r="E118" s="3">
        <v>517525</v>
      </c>
      <c r="F118" s="3">
        <v>4</v>
      </c>
      <c r="AJ118" s="3">
        <v>1</v>
      </c>
      <c r="AL118" t="str">
        <f t="shared" si="3"/>
        <v>MASCULINO</v>
      </c>
      <c r="AM118" s="3">
        <v>238</v>
      </c>
    </row>
    <row r="119" spans="1:39" x14ac:dyDescent="0.35">
      <c r="A119" s="3">
        <v>398</v>
      </c>
      <c r="B119" s="3">
        <v>0</v>
      </c>
      <c r="C119" s="3">
        <v>0</v>
      </c>
      <c r="D119" s="3">
        <v>256</v>
      </c>
      <c r="E119" s="3">
        <v>586358</v>
      </c>
      <c r="F119" s="3">
        <v>4</v>
      </c>
      <c r="AJ119" s="3">
        <v>0</v>
      </c>
      <c r="AL119" t="str">
        <f t="shared" si="3"/>
        <v>FEMENINO</v>
      </c>
      <c r="AM119" s="3">
        <v>256</v>
      </c>
    </row>
    <row r="120" spans="1:39" x14ac:dyDescent="0.35">
      <c r="A120" s="3">
        <v>399</v>
      </c>
      <c r="B120" s="3">
        <v>1</v>
      </c>
      <c r="C120" s="3">
        <v>1</v>
      </c>
      <c r="D120" s="3">
        <v>442</v>
      </c>
      <c r="E120" s="3">
        <v>420968</v>
      </c>
      <c r="F120" s="3">
        <v>3</v>
      </c>
      <c r="AJ120" s="3">
        <v>1</v>
      </c>
      <c r="AL120" t="str">
        <f t="shared" si="3"/>
        <v>MASCULINO</v>
      </c>
      <c r="AM120" s="3">
        <v>442</v>
      </c>
    </row>
    <row r="121" spans="1:39" x14ac:dyDescent="0.35">
      <c r="A121" s="3">
        <v>400</v>
      </c>
      <c r="B121" s="3">
        <v>1</v>
      </c>
      <c r="C121" s="3">
        <v>1</v>
      </c>
      <c r="D121" s="3">
        <v>219</v>
      </c>
      <c r="E121" s="3">
        <v>600351</v>
      </c>
      <c r="F121" s="3">
        <v>3</v>
      </c>
      <c r="AJ121" s="3">
        <v>1</v>
      </c>
      <c r="AL121" t="str">
        <f t="shared" si="3"/>
        <v>MASCULINO</v>
      </c>
      <c r="AM121" s="3">
        <v>219</v>
      </c>
    </row>
    <row r="122" spans="1:39" x14ac:dyDescent="0.35">
      <c r="A122" s="3">
        <v>401</v>
      </c>
      <c r="B122" s="3">
        <v>1</v>
      </c>
      <c r="C122" s="3">
        <v>1</v>
      </c>
      <c r="D122" s="3">
        <v>469</v>
      </c>
      <c r="E122" s="3">
        <v>346546</v>
      </c>
      <c r="F122" s="3">
        <v>3</v>
      </c>
      <c r="AJ122" s="3">
        <v>1</v>
      </c>
      <c r="AL122" t="str">
        <f t="shared" si="3"/>
        <v>MASCULINO</v>
      </c>
      <c r="AM122" s="3">
        <v>469</v>
      </c>
    </row>
    <row r="123" spans="1:39" x14ac:dyDescent="0.35">
      <c r="A123" s="3">
        <v>402</v>
      </c>
      <c r="B123" s="3">
        <v>0</v>
      </c>
      <c r="C123" s="3">
        <v>0</v>
      </c>
      <c r="D123" s="3">
        <v>406</v>
      </c>
      <c r="E123" s="3">
        <v>438544</v>
      </c>
      <c r="F123" s="3">
        <v>3</v>
      </c>
      <c r="AJ123" s="3">
        <v>0</v>
      </c>
      <c r="AL123" t="str">
        <f t="shared" si="3"/>
        <v>FEMENINO</v>
      </c>
      <c r="AM123" s="3">
        <v>406</v>
      </c>
    </row>
    <row r="124" spans="1:39" x14ac:dyDescent="0.35">
      <c r="A124" s="3">
        <v>403</v>
      </c>
      <c r="B124" s="3">
        <v>1</v>
      </c>
      <c r="C124" s="3">
        <v>1</v>
      </c>
      <c r="D124" s="3">
        <v>596</v>
      </c>
      <c r="E124" s="3">
        <v>604881</v>
      </c>
      <c r="F124" s="3">
        <v>4</v>
      </c>
      <c r="AJ124" s="3">
        <v>1</v>
      </c>
      <c r="AL124" t="str">
        <f t="shared" si="3"/>
        <v>MASCULINO</v>
      </c>
      <c r="AM124" s="3">
        <v>596</v>
      </c>
    </row>
    <row r="125" spans="1:39" x14ac:dyDescent="0.35">
      <c r="A125" s="3">
        <v>404</v>
      </c>
      <c r="B125" s="3">
        <v>0</v>
      </c>
      <c r="C125" s="3">
        <v>0</v>
      </c>
      <c r="D125" s="3">
        <v>308</v>
      </c>
      <c r="E125" s="3">
        <v>393457</v>
      </c>
      <c r="F125" s="3">
        <v>3</v>
      </c>
      <c r="AJ125" s="3">
        <v>0</v>
      </c>
      <c r="AL125" t="str">
        <f t="shared" si="3"/>
        <v>FEMENINO</v>
      </c>
      <c r="AM125" s="3">
        <v>308</v>
      </c>
    </row>
    <row r="126" spans="1:39" x14ac:dyDescent="0.35">
      <c r="A126" s="3">
        <v>405</v>
      </c>
      <c r="B126" s="3">
        <v>0</v>
      </c>
      <c r="C126" s="3">
        <v>0</v>
      </c>
      <c r="D126" s="3">
        <v>93</v>
      </c>
      <c r="E126" s="3">
        <v>432145</v>
      </c>
      <c r="F126" s="3">
        <v>4</v>
      </c>
      <c r="AJ126" s="3">
        <v>0</v>
      </c>
      <c r="AL126" t="str">
        <f t="shared" si="3"/>
        <v>FEMENINO</v>
      </c>
      <c r="AM126" s="3">
        <v>93</v>
      </c>
    </row>
    <row r="127" spans="1:39" x14ac:dyDescent="0.35">
      <c r="A127" s="3">
        <v>406</v>
      </c>
      <c r="B127" s="3">
        <v>1</v>
      </c>
      <c r="C127" s="3">
        <v>1</v>
      </c>
      <c r="D127" s="3">
        <v>456</v>
      </c>
      <c r="E127" s="3">
        <v>978806</v>
      </c>
      <c r="F127" s="3">
        <v>3</v>
      </c>
      <c r="AJ127" s="3">
        <v>1</v>
      </c>
      <c r="AL127" t="str">
        <f t="shared" si="3"/>
        <v>MASCULINO</v>
      </c>
      <c r="AM127" s="3">
        <v>456</v>
      </c>
    </row>
    <row r="128" spans="1:39" x14ac:dyDescent="0.35">
      <c r="A128" s="3">
        <v>407</v>
      </c>
      <c r="B128" s="3">
        <v>1</v>
      </c>
      <c r="C128" s="3">
        <v>1</v>
      </c>
      <c r="D128" s="3">
        <v>178</v>
      </c>
      <c r="E128" s="3">
        <v>608625</v>
      </c>
      <c r="F128" s="3">
        <v>3</v>
      </c>
      <c r="AJ128" s="3">
        <v>1</v>
      </c>
      <c r="AL128" t="str">
        <f t="shared" si="3"/>
        <v>MASCULINO</v>
      </c>
      <c r="AM128" s="3">
        <v>178</v>
      </c>
    </row>
    <row r="129" spans="1:39" x14ac:dyDescent="0.35">
      <c r="A129" s="3">
        <v>408</v>
      </c>
      <c r="B129" s="3">
        <v>0</v>
      </c>
      <c r="C129" s="3">
        <v>0</v>
      </c>
      <c r="D129" s="3">
        <v>275</v>
      </c>
      <c r="E129" s="3">
        <v>494206</v>
      </c>
      <c r="F129" s="3">
        <v>4</v>
      </c>
      <c r="AJ129" s="3">
        <v>0</v>
      </c>
      <c r="AL129" t="str">
        <f t="shared" si="3"/>
        <v>FEMENINO</v>
      </c>
      <c r="AM129" s="3">
        <v>275</v>
      </c>
    </row>
    <row r="130" spans="1:39" x14ac:dyDescent="0.35">
      <c r="A130" s="3">
        <v>409</v>
      </c>
      <c r="B130" s="3">
        <v>0</v>
      </c>
      <c r="C130" s="3">
        <v>0</v>
      </c>
      <c r="D130" s="3">
        <v>700</v>
      </c>
      <c r="E130" s="3">
        <v>332093</v>
      </c>
      <c r="F130" s="3">
        <v>3</v>
      </c>
      <c r="AJ130" s="3">
        <v>0</v>
      </c>
      <c r="AL130" t="str">
        <f t="shared" si="3"/>
        <v>FEMENINO</v>
      </c>
      <c r="AM130" s="3">
        <v>700</v>
      </c>
    </row>
    <row r="131" spans="1:39" x14ac:dyDescent="0.35">
      <c r="A131" s="3">
        <v>410</v>
      </c>
      <c r="B131" s="3">
        <v>0</v>
      </c>
      <c r="C131" s="3">
        <v>0</v>
      </c>
      <c r="D131" s="3">
        <v>423</v>
      </c>
      <c r="E131" s="3">
        <v>397716</v>
      </c>
      <c r="F131" s="3">
        <v>3</v>
      </c>
      <c r="AJ131" s="3">
        <v>0</v>
      </c>
      <c r="AL131" t="str">
        <f t="shared" ref="AL131:AL141" si="4">IF(AJ131=1,"MASCULINO","FEMENINO")</f>
        <v>FEMENINO</v>
      </c>
      <c r="AM131" s="3">
        <v>423</v>
      </c>
    </row>
    <row r="132" spans="1:39" x14ac:dyDescent="0.35">
      <c r="A132" s="3">
        <v>411</v>
      </c>
      <c r="B132" s="3">
        <v>0</v>
      </c>
      <c r="C132" s="3">
        <v>0</v>
      </c>
      <c r="D132" s="3">
        <v>259</v>
      </c>
      <c r="E132" s="3">
        <v>405577</v>
      </c>
      <c r="F132" s="3">
        <v>4</v>
      </c>
      <c r="AJ132" s="3">
        <v>0</v>
      </c>
      <c r="AL132" t="str">
        <f t="shared" si="4"/>
        <v>FEMENINO</v>
      </c>
      <c r="AM132" s="3">
        <v>259</v>
      </c>
    </row>
    <row r="133" spans="1:39" x14ac:dyDescent="0.35">
      <c r="A133" s="3">
        <v>412</v>
      </c>
      <c r="B133" s="3">
        <v>0</v>
      </c>
      <c r="C133" s="3">
        <v>0</v>
      </c>
      <c r="D133" s="3">
        <v>600</v>
      </c>
      <c r="E133" s="3">
        <v>422853</v>
      </c>
      <c r="F133" s="3">
        <v>4</v>
      </c>
      <c r="AJ133" s="3">
        <v>0</v>
      </c>
      <c r="AL133" t="str">
        <f t="shared" si="4"/>
        <v>FEMENINO</v>
      </c>
      <c r="AM133" s="3">
        <v>600</v>
      </c>
    </row>
    <row r="134" spans="1:39" x14ac:dyDescent="0.35">
      <c r="A134" s="3">
        <v>413</v>
      </c>
      <c r="B134" s="3">
        <v>1</v>
      </c>
      <c r="C134" s="3">
        <v>1</v>
      </c>
      <c r="D134" s="3">
        <v>679</v>
      </c>
      <c r="E134" s="3">
        <v>702146</v>
      </c>
      <c r="F134" s="3">
        <v>4</v>
      </c>
      <c r="AJ134" s="3">
        <v>1</v>
      </c>
      <c r="AL134" t="str">
        <f t="shared" si="4"/>
        <v>MASCULINO</v>
      </c>
      <c r="AM134" s="3">
        <v>679</v>
      </c>
    </row>
    <row r="135" spans="1:39" x14ac:dyDescent="0.35">
      <c r="A135" s="3">
        <v>414</v>
      </c>
      <c r="B135" s="3">
        <v>1</v>
      </c>
      <c r="C135" s="3">
        <v>1</v>
      </c>
      <c r="D135" s="3">
        <v>139</v>
      </c>
      <c r="E135" s="3">
        <v>515928</v>
      </c>
      <c r="F135" s="3">
        <v>4</v>
      </c>
      <c r="AJ135" s="3">
        <v>1</v>
      </c>
      <c r="AL135" t="str">
        <f t="shared" si="4"/>
        <v>MASCULINO</v>
      </c>
      <c r="AM135" s="3">
        <v>139</v>
      </c>
    </row>
    <row r="136" spans="1:39" x14ac:dyDescent="0.35">
      <c r="A136" s="3">
        <v>415</v>
      </c>
      <c r="B136" s="3">
        <v>1</v>
      </c>
      <c r="C136" s="3">
        <v>1</v>
      </c>
      <c r="D136" s="3">
        <v>287</v>
      </c>
      <c r="E136" s="3">
        <v>415286</v>
      </c>
      <c r="F136" s="3">
        <v>4</v>
      </c>
      <c r="AJ136" s="3">
        <v>1</v>
      </c>
      <c r="AL136" t="str">
        <f t="shared" si="4"/>
        <v>MASCULINO</v>
      </c>
      <c r="AM136" s="3">
        <v>287</v>
      </c>
    </row>
    <row r="137" spans="1:39" x14ac:dyDescent="0.35">
      <c r="A137" s="3">
        <v>416</v>
      </c>
      <c r="B137" s="3">
        <v>0</v>
      </c>
      <c r="C137" s="3">
        <v>0</v>
      </c>
      <c r="D137" s="3">
        <v>673</v>
      </c>
      <c r="E137" s="3">
        <v>474626</v>
      </c>
      <c r="F137" s="3">
        <v>3</v>
      </c>
      <c r="AJ137" s="3">
        <v>0</v>
      </c>
      <c r="AL137" t="str">
        <f t="shared" si="4"/>
        <v>FEMENINO</v>
      </c>
      <c r="AM137" s="3">
        <v>673</v>
      </c>
    </row>
    <row r="138" spans="1:39" x14ac:dyDescent="0.35">
      <c r="A138" s="3">
        <v>417</v>
      </c>
      <c r="B138" s="3">
        <v>1</v>
      </c>
      <c r="C138" s="3">
        <v>1</v>
      </c>
      <c r="D138" s="3">
        <v>715</v>
      </c>
      <c r="E138" s="3">
        <v>392922</v>
      </c>
      <c r="F138" s="3">
        <v>3</v>
      </c>
      <c r="AJ138" s="3">
        <v>1</v>
      </c>
      <c r="AL138" t="str">
        <f t="shared" si="4"/>
        <v>MASCULINO</v>
      </c>
      <c r="AM138" s="3">
        <v>715</v>
      </c>
    </row>
    <row r="139" spans="1:39" x14ac:dyDescent="0.35">
      <c r="A139" s="3">
        <v>418</v>
      </c>
      <c r="B139" s="3">
        <v>1</v>
      </c>
      <c r="C139" s="3">
        <v>1</v>
      </c>
      <c r="D139" s="3">
        <v>420</v>
      </c>
      <c r="E139" s="3">
        <v>570595</v>
      </c>
      <c r="F139" s="3">
        <v>4</v>
      </c>
      <c r="AJ139" s="3">
        <v>1</v>
      </c>
      <c r="AL139" t="str">
        <f t="shared" si="4"/>
        <v>MASCULINO</v>
      </c>
      <c r="AM139" s="3">
        <v>420</v>
      </c>
    </row>
    <row r="140" spans="1:39" x14ac:dyDescent="0.35">
      <c r="A140" s="3">
        <v>419</v>
      </c>
      <c r="B140" s="3">
        <v>0</v>
      </c>
      <c r="C140" s="3">
        <v>0</v>
      </c>
      <c r="D140" s="3">
        <v>588</v>
      </c>
      <c r="E140" s="3">
        <v>349553</v>
      </c>
      <c r="F140" s="3">
        <v>3</v>
      </c>
      <c r="AJ140" s="3">
        <v>0</v>
      </c>
      <c r="AL140" t="str">
        <f t="shared" si="4"/>
        <v>FEMENINO</v>
      </c>
      <c r="AM140" s="3">
        <v>588</v>
      </c>
    </row>
    <row r="141" spans="1:39" x14ac:dyDescent="0.35">
      <c r="A141" s="3">
        <v>420</v>
      </c>
      <c r="B141" s="3">
        <v>1</v>
      </c>
      <c r="C141" s="3">
        <v>1</v>
      </c>
      <c r="D141" s="3">
        <v>125</v>
      </c>
      <c r="E141" s="3">
        <v>595699</v>
      </c>
      <c r="F141" s="3">
        <v>3</v>
      </c>
      <c r="AJ141" s="3">
        <v>1</v>
      </c>
      <c r="AL141" t="str">
        <f t="shared" si="4"/>
        <v>MASCULINO</v>
      </c>
      <c r="AM141" s="3">
        <v>125</v>
      </c>
    </row>
  </sheetData>
  <sortState xmlns:xlrd2="http://schemas.microsoft.com/office/spreadsheetml/2017/richdata2" ref="H2:I141">
    <sortCondition ref="H2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40D0F12CA074CBA7718B72BBC0187" ma:contentTypeVersion="4" ma:contentTypeDescription="Create a new document." ma:contentTypeScope="" ma:versionID="5f20d7a192951e4d801c074fb20ad798">
  <xsd:schema xmlns:xsd="http://www.w3.org/2001/XMLSchema" xmlns:xs="http://www.w3.org/2001/XMLSchema" xmlns:p="http://schemas.microsoft.com/office/2006/metadata/properties" xmlns:ns2="4dcdf16e-14b3-48f0-bca3-58bb61484bb0" targetNamespace="http://schemas.microsoft.com/office/2006/metadata/properties" ma:root="true" ma:fieldsID="eb69754b39e7527e6eee33b0e4c184f2" ns2:_="">
    <xsd:import namespace="4dcdf16e-14b3-48f0-bca3-58bb61484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f16e-14b3-48f0-bca3-58bb61484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A1B367-8645-4227-9157-3F10C3ED109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4dcdf16e-14b3-48f0-bca3-58bb61484bb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62D7116-2660-4CEB-9C93-7CEF5433745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460766A-910E-49A6-B820-395B6A4C61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df16e-14b3-48f0-bca3-58bb61484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079494C-0145-40DE-97E3-DD0275D239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FORMAS</vt:lpstr>
      <vt:lpstr>BD01</vt:lpstr>
      <vt:lpstr>Registro</vt:lpstr>
      <vt:lpstr>Registro.EDIT</vt:lpstr>
      <vt:lpstr>romana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 OSSES ROMANO</dc:creator>
  <cp:keywords/>
  <dc:description/>
  <cp:lastModifiedBy>LUIS FABIAN DELGADO MIRANDA</cp:lastModifiedBy>
  <cp:revision/>
  <dcterms:created xsi:type="dcterms:W3CDTF">2020-08-29T01:05:35Z</dcterms:created>
  <dcterms:modified xsi:type="dcterms:W3CDTF">2024-08-22T23:35:39Z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0x010100CE840D0F12CA074CBA7718B72BBC0187</vt:lpwstr>
  </property>
</Properties>
</file>