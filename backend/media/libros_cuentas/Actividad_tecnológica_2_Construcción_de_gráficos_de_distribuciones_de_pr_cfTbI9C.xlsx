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4664BF7-45CD-4861-A291-9BF6D8174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5" i="1"/>
  <c r="H17" i="1"/>
  <c r="H16" i="1"/>
  <c r="H15" i="1"/>
  <c r="H14" i="1"/>
  <c r="G18" i="1"/>
  <c r="G17" i="1"/>
  <c r="G16" i="1"/>
  <c r="G15" i="1"/>
  <c r="G14" i="1"/>
  <c r="C6" i="1"/>
  <c r="D3" i="1"/>
  <c r="D4" i="1"/>
  <c r="D5" i="1"/>
  <c r="D6" i="1"/>
  <c r="D7" i="1"/>
  <c r="D8" i="1"/>
  <c r="D2" i="1"/>
  <c r="C9" i="1"/>
  <c r="C3" i="1"/>
  <c r="C4" i="1"/>
  <c r="C5" i="1"/>
  <c r="C7" i="1"/>
  <c r="C8" i="1"/>
  <c r="C2" i="1"/>
  <c r="B9" i="1"/>
</calcChain>
</file>

<file path=xl/sharedStrings.xml><?xml version="1.0" encoding="utf-8"?>
<sst xmlns="http://schemas.openxmlformats.org/spreadsheetml/2006/main" count="47" uniqueCount="21">
  <si>
    <t>MUNICIPAL / LOCAL / CORPORACIONES</t>
  </si>
  <si>
    <t>PARTICULAR SUBVENCIONADO</t>
  </si>
  <si>
    <t>JARDÍN INFANTIL O SALA CUNA DEL LUGAR DE TRABAJO</t>
  </si>
  <si>
    <t>CENTRO DE FORMACIÓN TÉCNICA</t>
  </si>
  <si>
    <t>INSTITUTO PROFESIONAL</t>
  </si>
  <si>
    <t>UNIVERSIDAD</t>
  </si>
  <si>
    <t>FUERZAS ARMADAS</t>
  </si>
  <si>
    <t>CANTIDAD DE PERSONAS</t>
  </si>
  <si>
    <t>LUGAR DE ESTUDIO</t>
  </si>
  <si>
    <t>P(éxito)</t>
  </si>
  <si>
    <t>P(fracaso)</t>
  </si>
  <si>
    <t>x</t>
  </si>
  <si>
    <t>P(X=x)</t>
  </si>
  <si>
    <t>persona 1</t>
  </si>
  <si>
    <t>persona 2</t>
  </si>
  <si>
    <t>persona 3</t>
  </si>
  <si>
    <t>si</t>
  </si>
  <si>
    <t>no</t>
  </si>
  <si>
    <t>Estudiante IP</t>
  </si>
  <si>
    <t xml:space="preserve"> 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</si>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</sst>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64" fontId="0" fillId="0" borderId="1" xfId="1" applyFont="1" applyBorder="1" applyAlignment="1">
      <alignment horizontal="center"/>
    </xf>
    <xf numFmtId="164" fontId="1" fillId="0" borderId="1" xfId="1" applyFont="1" applyBorder="1" applyAlignment="1">
      <alignment horizontal="center"/>
    </xf>
    <xf numFmtId="0" fontId="2" fillId="0" borderId="1" xfId="0" applyFont="1" applyBorder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0" fillId="2" borderId="1" xfId="0" applyFill="1" applyBorder="1"/>
    <xf numFmtId="164" fontId="0" fillId="2" borderId="1" xfId="1" applyFont="1" applyFill="1" applyBorder="1" applyAlignment="1">
      <alignment horizontal="center"/>
    </xf>
    <xf numFmtId="10" fontId="0" fillId="2" borderId="0" xfId="2" applyNumberFormat="1" applyFont="1" applyFill="1"/>
    <xf numFmtId="0" fontId="0" fillId="0" borderId="1" xfId="0" applyFill="1" applyBorder="1"/>
    <xf numFmtId="10" fontId="0" fillId="0" borderId="1" xfId="2" applyNumberFormat="1" applyFont="1" applyBorder="1"/>
    <xf numFmtId="10" fontId="0" fillId="0" borderId="1" xfId="0" applyNumberFormat="1" applyBorder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60255905511811"/>
          <c:y val="0.16708333333333336"/>
          <c:w val="0.8534188538932633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Hoja1!$G$13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Hoja1!$F$14:$F$17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Hoja1!$G$14:$G$17</c:f>
              <c:numCache>
                <c:formatCode>0.00%</c:formatCode>
                <c:ptCount val="4"/>
                <c:pt idx="0">
                  <c:v>0.76530761952299986</c:v>
                </c:pt>
                <c:pt idx="1">
                  <c:v>0.21410541143100001</c:v>
                </c:pt>
                <c:pt idx="2">
                  <c:v>1.9966318569E-2</c:v>
                </c:pt>
                <c:pt idx="3">
                  <c:v>6.2065047699999998E-4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4-411F-A742-64095D738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747055"/>
        <c:axId val="1504743215"/>
      </c:barChart>
      <c:catAx>
        <c:axId val="15047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43215"/>
        <c:crosses val="autoZero"/>
        <c:auto val="1"/>
        <c:lblAlgn val="ctr"/>
        <c:lblOffset val="100"/>
        <c:noMultiLvlLbl val="0"/>
      </c:catAx>
      <c:valAx>
        <c:axId val="15047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4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Hoja1!$N$23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Hoja1!$M$24:$M$27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Hoja1!$N$24:$N$27</c:f>
              <c:numCache>
                <c:formatCode>0.00%</c:formatCode>
                <c:ptCount val="4"/>
                <c:pt idx="0">
                  <c:v>0.76529999999999998</c:v>
                </c:pt>
                <c:pt idx="1">
                  <c:v>0.97940541143100002</c:v>
                </c:pt>
                <c:pt idx="2">
                  <c:v>0.99937173000000001</c:v>
                </c:pt>
                <c:pt idx="3">
                  <c:v>0.99999238047700001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E-4D36-8FB8-B99D630C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708175"/>
        <c:axId val="1504714415"/>
      </c:barChart>
      <c:catAx>
        <c:axId val="150470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14415"/>
        <c:crosses val="autoZero"/>
        <c:auto val="1"/>
        <c:lblAlgn val="ctr"/>
        <c:lblOffset val="100"/>
        <c:noMultiLvlLbl val="0"/>
      </c:catAx>
      <c:valAx>
        <c:axId val="15047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470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617220</xdr:colOff>
      <xdr:row>2</xdr:row>
      <xdr:rowOff>34290</xdr:rowOff>
    </xdr:from>
    <xdr:to>
      <xdr:col>16</xdr:col>
      <xdr:colOff>190500</xdr:colOff>
      <xdr:row>17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C308B7-79F1-2BC7-BAA2-1F2C766B8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541020</xdr:colOff>
      <xdr:row>27</xdr:row>
      <xdr:rowOff>91440</xdr:rowOff>
    </xdr:from>
    <xdr:to>
      <xdr:col>16</xdr:col>
      <xdr:colOff>411480</xdr:colOff>
      <xdr:row>40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F948C0-FB9A-305F-0653-B418787B2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B13" workbookViewId="0">
      <selection activeCell="G26" sqref="G26"/>
    </sheetView>
  </sheetViews>
  <sheetFormatPr baseColWidth="10" defaultColWidth="9.109375" defaultRowHeight="14.4" x14ac:dyDescent="0.3"/>
  <cols>
    <col min="1" max="1" width="50.33203125" bestFit="1" customWidth="1"/>
    <col min="2" max="2" width="23.109375" bestFit="1" customWidth="1"/>
  </cols>
  <sheetData>
    <row r="1" spans="1:8" x14ac:dyDescent="0.3">
      <c r="A1" s="4" t="s">
        <v>8</v>
      </c>
      <c r="B1" s="4" t="s">
        <v>7</v>
      </c>
      <c r="C1" t="s">
        <v>9</v>
      </c>
      <c r="D1" t="s">
        <v>10</v>
      </c>
    </row>
    <row r="2" spans="1:8" x14ac:dyDescent="0.3">
      <c r="A2" s="1" t="s">
        <v>0</v>
      </c>
      <c r="B2" s="3">
        <v>426155</v>
      </c>
      <c r="C2" s="6">
        <f>B2/B$9</f>
        <v>0.22684204867132748</v>
      </c>
      <c r="D2" s="7">
        <f>1 -C2</f>
        <v>0.77315795132867249</v>
      </c>
    </row>
    <row r="3" spans="1:8" x14ac:dyDescent="0.3">
      <c r="A3" s="1" t="s">
        <v>1</v>
      </c>
      <c r="B3" s="3">
        <v>837310</v>
      </c>
      <c r="C3" s="6">
        <f t="shared" ref="C3:C8" si="0">B3/B$9</f>
        <v>0.44569960641782735</v>
      </c>
      <c r="D3" s="7">
        <f t="shared" ref="D3:D8" si="1">1 -C3</f>
        <v>0.55430039358217265</v>
      </c>
    </row>
    <row r="4" spans="1:8" x14ac:dyDescent="0.3">
      <c r="A4" s="1" t="s">
        <v>2</v>
      </c>
      <c r="B4" s="3">
        <v>12187</v>
      </c>
      <c r="C4" s="6">
        <f t="shared" si="0"/>
        <v>6.4871327267249429E-3</v>
      </c>
      <c r="D4" s="7">
        <f t="shared" si="1"/>
        <v>0.99351286727327504</v>
      </c>
    </row>
    <row r="5" spans="1:8" x14ac:dyDescent="0.3">
      <c r="A5" s="1" t="s">
        <v>3</v>
      </c>
      <c r="B5" s="3">
        <v>18966</v>
      </c>
      <c r="C5" s="6">
        <f t="shared" si="0"/>
        <v>1.0095590325352037E-2</v>
      </c>
      <c r="D5" s="7">
        <f t="shared" si="1"/>
        <v>0.98990440967464799</v>
      </c>
    </row>
    <row r="6" spans="1:8" x14ac:dyDescent="0.3">
      <c r="A6" s="8" t="s">
        <v>4</v>
      </c>
      <c r="B6" s="9">
        <v>160229</v>
      </c>
      <c r="C6" s="10">
        <f>B6/B$9</f>
        <v>8.5289799759613594E-2</v>
      </c>
      <c r="D6" s="7">
        <f t="shared" si="1"/>
        <v>0.91471020024038641</v>
      </c>
    </row>
    <row r="7" spans="1:8" x14ac:dyDescent="0.3">
      <c r="A7" s="1" t="s">
        <v>5</v>
      </c>
      <c r="B7" s="2">
        <v>423011</v>
      </c>
      <c r="C7" s="6">
        <f t="shared" si="0"/>
        <v>0.2251684993734836</v>
      </c>
      <c r="D7" s="7">
        <f t="shared" si="1"/>
        <v>0.7748315006265164</v>
      </c>
    </row>
    <row r="8" spans="1:8" x14ac:dyDescent="0.3">
      <c r="A8" s="1" t="s">
        <v>6</v>
      </c>
      <c r="B8" s="2">
        <v>784</v>
      </c>
      <c r="C8" s="6">
        <f t="shared" si="0"/>
        <v>4.1732272567099001E-4</v>
      </c>
      <c r="D8" s="7">
        <f t="shared" si="1"/>
        <v>0.99958267727432903</v>
      </c>
    </row>
    <row r="9" spans="1:8" x14ac:dyDescent="0.3">
      <c r="B9" s="5">
        <f>SUM(B2:B8)</f>
        <v>1878642</v>
      </c>
      <c r="C9" s="7">
        <f>SUM(C2:C8)</f>
        <v>1</v>
      </c>
    </row>
    <row r="13" spans="1:8" x14ac:dyDescent="0.3">
      <c r="F13" s="1" t="s">
        <v>11</v>
      </c>
      <c r="G13" s="1" t="s">
        <v>12</v>
      </c>
      <c r="H13" s="1" t="s">
        <v>20</v>
      </c>
    </row>
    <row r="14" spans="1:8" x14ac:dyDescent="0.3">
      <c r="F14" s="1">
        <v>0</v>
      </c>
      <c r="G14" s="12">
        <f>1*J20*J20*J20</f>
        <v>0.76530761952299986</v>
      </c>
      <c r="H14" s="12">
        <f>_xlfn.BINOM.DIST(0,3,I20,FALSE)</f>
        <v>0.76530761952299997</v>
      </c>
    </row>
    <row r="15" spans="1:8" x14ac:dyDescent="0.3">
      <c r="F15" s="1">
        <v>1</v>
      </c>
      <c r="G15" s="12">
        <f>3*I20*J20*J20</f>
        <v>0.21410541143100001</v>
      </c>
      <c r="H15" s="12">
        <f>_xlfn.BINOM.DIST(1,3,I20,)</f>
        <v>0.21410541143099998</v>
      </c>
    </row>
    <row r="16" spans="1:8" x14ac:dyDescent="0.3">
      <c r="F16" s="1">
        <v>2</v>
      </c>
      <c r="G16" s="12">
        <f>3*I20*I20*J20</f>
        <v>1.9966318569E-2</v>
      </c>
      <c r="H16" s="12">
        <f>_xlfn.BINOM.DIST(2,3,I20,)</f>
        <v>1.9966318568999997E-2</v>
      </c>
    </row>
    <row r="17" spans="2:14" x14ac:dyDescent="0.3">
      <c r="F17" s="1">
        <v>3</v>
      </c>
      <c r="G17" s="12">
        <f>1*I20*I20*I20</f>
        <v>6.2065047699999998E-4</v>
      </c>
      <c r="H17" s="12">
        <f>_xlfn.BINOM.DIST(3,3,I20,)</f>
        <v>6.2065047700000031E-4</v>
      </c>
    </row>
    <row r="18" spans="2:14" x14ac:dyDescent="0.3">
      <c r="G18" s="13">
        <f>SUM(G14:G17)</f>
        <v>0.99999999999999989</v>
      </c>
    </row>
    <row r="19" spans="2:14" x14ac:dyDescent="0.3">
      <c r="I19" t="s">
        <v>9</v>
      </c>
      <c r="J19" t="s">
        <v>10</v>
      </c>
    </row>
    <row r="20" spans="2:14" x14ac:dyDescent="0.3">
      <c r="I20" s="7">
        <v>8.5300000000000001E-2</v>
      </c>
      <c r="J20" s="7">
        <v>0.91469999999999996</v>
      </c>
    </row>
    <row r="22" spans="2:14" x14ac:dyDescent="0.3">
      <c r="B22" s="1" t="s">
        <v>13</v>
      </c>
      <c r="C22" s="1" t="s">
        <v>14</v>
      </c>
      <c r="D22" s="1" t="s">
        <v>15</v>
      </c>
      <c r="E22" s="11" t="s">
        <v>18</v>
      </c>
    </row>
    <row r="23" spans="2:14" x14ac:dyDescent="0.3">
      <c r="B23" s="1" t="s">
        <v>16</v>
      </c>
      <c r="C23" s="1" t="s">
        <v>16</v>
      </c>
      <c r="D23" s="1" t="s">
        <v>16</v>
      </c>
      <c r="E23" s="1">
        <v>3</v>
      </c>
      <c r="M23" s="1" t="s">
        <v>11</v>
      </c>
      <c r="N23" s="1" t="s">
        <v>12</v>
      </c>
    </row>
    <row r="24" spans="2:14" x14ac:dyDescent="0.3">
      <c r="B24" s="1" t="s">
        <v>16</v>
      </c>
      <c r="C24" s="1" t="s">
        <v>16</v>
      </c>
      <c r="D24" s="1" t="s">
        <v>17</v>
      </c>
      <c r="E24" s="1">
        <v>2</v>
      </c>
      <c r="M24" s="1">
        <v>0</v>
      </c>
      <c r="N24" s="12">
        <v>0.76529999999999998</v>
      </c>
    </row>
    <row r="25" spans="2:14" x14ac:dyDescent="0.3">
      <c r="B25" s="1" t="s">
        <v>16</v>
      </c>
      <c r="C25" s="1" t="s">
        <v>17</v>
      </c>
      <c r="D25" s="1" t="s">
        <v>16</v>
      </c>
      <c r="E25" s="1">
        <v>2</v>
      </c>
      <c r="M25" s="1">
        <v>1</v>
      </c>
      <c r="N25" s="12">
        <f>N24+G15</f>
        <v>0.97940541143100002</v>
      </c>
    </row>
    <row r="26" spans="2:14" x14ac:dyDescent="0.3">
      <c r="B26" s="1" t="s">
        <v>16</v>
      </c>
      <c r="C26" s="1" t="s">
        <v>17</v>
      </c>
      <c r="D26" s="1" t="s">
        <v>17</v>
      </c>
      <c r="E26" s="1">
        <v>1</v>
      </c>
      <c r="K26" t="s">
        <v>19</v>
      </c>
      <c r="M26" s="1">
        <v>2</v>
      </c>
      <c r="N26" s="12">
        <f>N25+G16</f>
        <v>0.99937173000000001</v>
      </c>
    </row>
    <row r="27" spans="2:14" x14ac:dyDescent="0.3">
      <c r="B27" s="1" t="s">
        <v>17</v>
      </c>
      <c r="C27" s="1" t="s">
        <v>16</v>
      </c>
      <c r="D27" s="1" t="s">
        <v>16</v>
      </c>
      <c r="E27" s="1">
        <v>2</v>
      </c>
      <c r="M27" s="1">
        <v>3</v>
      </c>
      <c r="N27" s="12">
        <f>N26+G17</f>
        <v>0.99999238047700001</v>
      </c>
    </row>
    <row r="28" spans="2:14" x14ac:dyDescent="0.3">
      <c r="B28" s="1" t="s">
        <v>17</v>
      </c>
      <c r="C28" s="1" t="s">
        <v>16</v>
      </c>
      <c r="D28" s="1" t="s">
        <v>17</v>
      </c>
      <c r="E28" s="1">
        <v>1</v>
      </c>
    </row>
    <row r="29" spans="2:14" x14ac:dyDescent="0.3">
      <c r="B29" s="1" t="s">
        <v>17</v>
      </c>
      <c r="C29" s="1" t="s">
        <v>17</v>
      </c>
      <c r="D29" s="1" t="s">
        <v>16</v>
      </c>
      <c r="E29" s="1">
        <v>1</v>
      </c>
    </row>
    <row r="30" spans="2:14" x14ac:dyDescent="0.3">
      <c r="B30" s="1" t="s">
        <v>17</v>
      </c>
      <c r="C30" s="1" t="s">
        <v>17</v>
      </c>
      <c r="D30" s="1" t="s">
        <v>17</v>
      </c>
      <c r="E30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</dc:creator>
  <cp:lastModifiedBy>Johan Orellana</cp:lastModifiedBy>
  <dcterms:created xsi:type="dcterms:W3CDTF">2015-06-05T18:19:34Z</dcterms:created>
  <dcterms:modified xsi:type="dcterms:W3CDTF">2025-08-27T23:56:36Z</dcterms:modified>
</cp:coreProperties>
</file>